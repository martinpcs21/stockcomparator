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RODAD\Code\github.com\martinpcs21\StockFundamentalAnalysis\mysql\"/>
    </mc:Choice>
  </mc:AlternateContent>
  <xr:revisionPtr revIDLastSave="0" documentId="13_ncr:1_{B333F42F-0EEA-41C5-A446-5D8C5568D846}" xr6:coauthVersionLast="46" xr6:coauthVersionMax="46" xr10:uidLastSave="{00000000-0000-0000-0000-000000000000}"/>
  <bookViews>
    <workbookView xWindow="-120" yWindow="-120" windowWidth="20730" windowHeight="11310" tabRatio="818" activeTab="1" xr2:uid="{C6A0B486-EB10-4DD6-BD6F-BA95144E2E32}"/>
  </bookViews>
  <sheets>
    <sheet name="Compare_Cols" sheetId="67" r:id="rId1"/>
    <sheet name="Cols" sheetId="74" r:id="rId2"/>
    <sheet name="FundamentalAnalysis" sheetId="66" r:id="rId3"/>
    <sheet name="Companies" sheetId="70" r:id="rId4"/>
    <sheet name="Sectors &amp; Industries" sheetId="69" r:id="rId5"/>
    <sheet name="Countries" sheetId="7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74" l="1"/>
  <c r="A4" i="74"/>
  <c r="A5" i="74"/>
  <c r="A6" i="74"/>
  <c r="A7" i="74"/>
  <c r="A8" i="74"/>
  <c r="A9" i="74"/>
  <c r="A10" i="74"/>
  <c r="A11" i="74"/>
  <c r="A12" i="74"/>
  <c r="A13" i="74"/>
  <c r="A14" i="74"/>
  <c r="A15" i="74"/>
  <c r="A16" i="74"/>
  <c r="A17" i="74"/>
  <c r="A18" i="74"/>
  <c r="A19" i="74"/>
  <c r="A20" i="74"/>
  <c r="A21" i="74"/>
  <c r="A22" i="74"/>
  <c r="A23" i="74"/>
  <c r="A24" i="74"/>
  <c r="A25" i="74"/>
  <c r="A26" i="74"/>
  <c r="A27" i="74"/>
  <c r="A28" i="74"/>
  <c r="A29" i="74"/>
  <c r="A30" i="74"/>
  <c r="A31" i="74"/>
  <c r="A32" i="74"/>
  <c r="A33" i="74"/>
  <c r="A34" i="74"/>
  <c r="A35" i="74"/>
  <c r="A36" i="74"/>
  <c r="A37" i="74"/>
  <c r="A38" i="74"/>
  <c r="A39" i="74"/>
  <c r="A40" i="74"/>
  <c r="A41" i="74"/>
  <c r="A42" i="74"/>
  <c r="A43" i="74"/>
  <c r="A44" i="74"/>
  <c r="A45" i="74"/>
  <c r="A46" i="74"/>
  <c r="A47" i="74"/>
  <c r="A48" i="74"/>
  <c r="A49" i="74"/>
  <c r="A50" i="74"/>
  <c r="A51" i="74"/>
  <c r="A52" i="74"/>
  <c r="A53" i="74"/>
  <c r="A54" i="74"/>
  <c r="A55" i="74"/>
  <c r="A56" i="74"/>
  <c r="A2" i="74"/>
  <c r="A4" i="66" a="1"/>
  <c r="A6" i="66" a="1"/>
  <c r="A8" i="66" a="1"/>
  <c r="A10" i="66" a="1"/>
  <c r="A12" i="66" a="1"/>
  <c r="A14" i="66" a="1"/>
  <c r="A16" i="66" a="1"/>
  <c r="A18" i="66" a="1"/>
  <c r="A20" i="66" a="1"/>
  <c r="A22" i="66" a="1"/>
  <c r="A24" i="66" a="1"/>
  <c r="A26" i="66" a="1"/>
  <c r="A28" i="66" a="1"/>
  <c r="A30" i="66" a="1"/>
  <c r="A32" i="66" a="1"/>
  <c r="A34" i="66" a="1"/>
  <c r="A42" i="66" a="1"/>
  <c r="A50" i="66" a="1"/>
  <c r="A5" i="66" a="1"/>
  <c r="A9" i="66" a="1"/>
  <c r="A15" i="66" a="1"/>
  <c r="A19" i="66" a="1"/>
  <c r="A21" i="66" a="1"/>
  <c r="A25" i="66" a="1"/>
  <c r="A31" i="66" a="1"/>
  <c r="A35" i="66" a="1"/>
  <c r="A37" i="66" a="1"/>
  <c r="A41" i="66" a="1"/>
  <c r="A47" i="66" a="1"/>
  <c r="A51" i="66" a="1"/>
  <c r="A36" i="66" a="1"/>
  <c r="A44" i="66" a="1"/>
  <c r="A48" i="66" a="1"/>
  <c r="A54" i="66" a="1"/>
  <c r="A7" i="66" a="1"/>
  <c r="A11" i="66" a="1"/>
  <c r="A13" i="66" a="1"/>
  <c r="A17" i="66" a="1"/>
  <c r="A23" i="66" a="1"/>
  <c r="A27" i="66" a="1"/>
  <c r="A29" i="66" a="1"/>
  <c r="A33" i="66" a="1"/>
  <c r="A39" i="66" a="1"/>
  <c r="A43" i="66" a="1"/>
  <c r="A45" i="66" a="1"/>
  <c r="A49" i="66" a="1"/>
  <c r="A53" i="66" a="1"/>
  <c r="A38" i="66" a="1"/>
  <c r="A40" i="66" a="1"/>
  <c r="A46" i="66" a="1"/>
  <c r="A52" i="66" a="1"/>
  <c r="B4" i="66" a="1"/>
  <c r="B6" i="66" a="1"/>
  <c r="B8" i="66" a="1"/>
  <c r="B10" i="66" a="1"/>
  <c r="B12" i="66" a="1"/>
  <c r="B14" i="66" a="1"/>
  <c r="B16" i="66" a="1"/>
  <c r="B18" i="66" a="1"/>
  <c r="B20" i="66" a="1"/>
  <c r="B22" i="66" a="1"/>
  <c r="B24" i="66" a="1"/>
  <c r="B26" i="66" a="1"/>
  <c r="B32" i="66" a="1"/>
  <c r="B42" i="66" a="1"/>
  <c r="B48" i="66" a="1"/>
  <c r="B7" i="66" a="1"/>
  <c r="B9" i="66" a="1"/>
  <c r="B13" i="66" a="1"/>
  <c r="B17" i="66" a="1"/>
  <c r="B21" i="66" a="1"/>
  <c r="B25" i="66" a="1"/>
  <c r="B29" i="66" a="1"/>
  <c r="B33" i="66" a="1"/>
  <c r="B37" i="66" a="1"/>
  <c r="B41" i="66" a="1"/>
  <c r="B45" i="66" a="1"/>
  <c r="B49" i="66" a="1"/>
  <c r="B53" i="66" a="1"/>
  <c r="B28" i="66" a="1"/>
  <c r="B34" i="66" a="1"/>
  <c r="B38" i="66" a="1"/>
  <c r="B44" i="66" a="1"/>
  <c r="B50" i="66" a="1"/>
  <c r="B54" i="66" a="1"/>
  <c r="B5" i="66" a="1"/>
  <c r="B11" i="66" a="1"/>
  <c r="B15" i="66" a="1"/>
  <c r="B19" i="66" a="1"/>
  <c r="B23" i="66" a="1"/>
  <c r="B27" i="66" a="1"/>
  <c r="B31" i="66" a="1"/>
  <c r="B35" i="66" a="1"/>
  <c r="B39" i="66" a="1"/>
  <c r="B43" i="66" a="1"/>
  <c r="B47" i="66" a="1"/>
  <c r="B51" i="66" a="1"/>
  <c r="B30" i="66" a="1"/>
  <c r="B36" i="66" a="1"/>
  <c r="B40" i="66" a="1"/>
  <c r="B46" i="66" a="1"/>
  <c r="B52" i="66" a="1"/>
  <c r="B3" i="66" a="1"/>
  <c r="B4" i="70" a="1"/>
  <c r="B6" i="70" a="1"/>
  <c r="B8" i="70" a="1"/>
  <c r="B10" i="70" a="1"/>
  <c r="B12" i="70" a="1"/>
  <c r="B14" i="70" a="1"/>
  <c r="B16" i="70" a="1"/>
  <c r="B18" i="70" a="1"/>
  <c r="B20" i="70" a="1"/>
  <c r="B22" i="70" a="1"/>
  <c r="B24" i="70" a="1"/>
  <c r="B26" i="70" a="1"/>
  <c r="B28" i="70" a="1"/>
  <c r="B30" i="70" a="1"/>
  <c r="B32" i="70" a="1"/>
  <c r="B34" i="70" a="1"/>
  <c r="B36" i="70" a="1"/>
  <c r="B42" i="70" a="1"/>
  <c r="B48" i="70" a="1"/>
  <c r="B54" i="70" a="1"/>
  <c r="B7" i="70" a="1"/>
  <c r="B15" i="70" a="1"/>
  <c r="B19" i="70" a="1"/>
  <c r="B25" i="70" a="1"/>
  <c r="B29" i="70" a="1"/>
  <c r="B33" i="70" a="1"/>
  <c r="B37" i="70" a="1"/>
  <c r="B43" i="70" a="1"/>
  <c r="B47" i="70" a="1"/>
  <c r="B51" i="70" a="1"/>
  <c r="B57" i="70" a="1"/>
  <c r="B38" i="70" a="1"/>
  <c r="B46" i="70" a="1"/>
  <c r="B52" i="70" a="1"/>
  <c r="B58" i="70" a="1"/>
  <c r="B5" i="70" a="1"/>
  <c r="B9" i="70" a="1"/>
  <c r="B11" i="70" a="1"/>
  <c r="B13" i="70" a="1"/>
  <c r="B17" i="70" a="1"/>
  <c r="B21" i="70" a="1"/>
  <c r="B23" i="70" a="1"/>
  <c r="B27" i="70" a="1"/>
  <c r="B31" i="70" a="1"/>
  <c r="B35" i="70" a="1"/>
  <c r="B39" i="70" a="1"/>
  <c r="B41" i="70" a="1"/>
  <c r="B45" i="70" a="1"/>
  <c r="B49" i="70" a="1"/>
  <c r="B53" i="70" a="1"/>
  <c r="B55" i="70" a="1"/>
  <c r="B59" i="70" a="1"/>
  <c r="B40" i="70" a="1"/>
  <c r="B44" i="70" a="1"/>
  <c r="B50" i="70" a="1"/>
  <c r="B56" i="70" a="1"/>
  <c r="B3" i="70" a="1"/>
  <c r="A4" i="70" a="1"/>
  <c r="A6" i="70" a="1"/>
  <c r="A8" i="70" a="1"/>
  <c r="A10" i="70" a="1"/>
  <c r="A12" i="70" a="1"/>
  <c r="A14" i="70" a="1"/>
  <c r="A16" i="70" a="1"/>
  <c r="A18" i="70" a="1"/>
  <c r="A20" i="70" a="1"/>
  <c r="A22" i="70" a="1"/>
  <c r="A24" i="70" a="1"/>
  <c r="A26" i="70" a="1"/>
  <c r="A28" i="70" a="1"/>
  <c r="A30" i="70" a="1"/>
  <c r="A32" i="70" a="1"/>
  <c r="A34" i="70" a="1"/>
  <c r="A40" i="70" a="1"/>
  <c r="A46" i="70" a="1"/>
  <c r="A52" i="70" a="1"/>
  <c r="A58" i="70" a="1"/>
  <c r="A7" i="70" a="1"/>
  <c r="A13" i="70" a="1"/>
  <c r="A17" i="70" a="1"/>
  <c r="A21" i="70" a="1"/>
  <c r="A25" i="70" a="1"/>
  <c r="A29" i="70" a="1"/>
  <c r="A33" i="70" a="1"/>
  <c r="A37" i="70" a="1"/>
  <c r="A41" i="70" a="1"/>
  <c r="A45" i="70" a="1"/>
  <c r="A49" i="70" a="1"/>
  <c r="A53" i="70" a="1"/>
  <c r="A57" i="70" a="1"/>
  <c r="A38" i="70" a="1"/>
  <c r="A44" i="70" a="1"/>
  <c r="A50" i="70" a="1"/>
  <c r="A54" i="70" a="1"/>
  <c r="A5" i="70" a="1"/>
  <c r="A9" i="70" a="1"/>
  <c r="A11" i="70" a="1"/>
  <c r="A15" i="70" a="1"/>
  <c r="A19" i="70" a="1"/>
  <c r="A23" i="70" a="1"/>
  <c r="A27" i="70" a="1"/>
  <c r="A31" i="70" a="1"/>
  <c r="A35" i="70" a="1"/>
  <c r="A39" i="70" a="1"/>
  <c r="A43" i="70" a="1"/>
  <c r="A47" i="70" a="1"/>
  <c r="A51" i="70" a="1"/>
  <c r="A55" i="70" a="1"/>
  <c r="A59" i="70" a="1"/>
  <c r="A36" i="70" a="1"/>
  <c r="A42" i="70" a="1"/>
  <c r="A48" i="70" a="1"/>
  <c r="A56" i="70" a="1"/>
  <c r="A3" i="70" a="1"/>
  <c r="B56" i="70" l="1"/>
  <c r="B50" i="70"/>
  <c r="B44" i="70"/>
  <c r="B40" i="70"/>
  <c r="B59" i="70"/>
  <c r="B55" i="70"/>
  <c r="B53" i="70"/>
  <c r="B49" i="70"/>
  <c r="B45" i="70"/>
  <c r="B41" i="70"/>
  <c r="B39" i="70"/>
  <c r="B35" i="70"/>
  <c r="B31" i="70"/>
  <c r="B27" i="70"/>
  <c r="B23" i="70"/>
  <c r="B21" i="70"/>
  <c r="B17" i="70"/>
  <c r="B13" i="70"/>
  <c r="B11" i="70"/>
  <c r="B9" i="70"/>
  <c r="B5" i="70"/>
  <c r="B58" i="70"/>
  <c r="B52" i="70"/>
  <c r="B46" i="70"/>
  <c r="B38" i="70"/>
  <c r="B57" i="70"/>
  <c r="B51" i="70"/>
  <c r="B47" i="70"/>
  <c r="B43" i="70"/>
  <c r="B37" i="70"/>
  <c r="B33" i="70"/>
  <c r="B29" i="70"/>
  <c r="B25" i="70"/>
  <c r="B19" i="70"/>
  <c r="B15" i="70"/>
  <c r="B7" i="70"/>
  <c r="B54" i="70"/>
  <c r="B48" i="70"/>
  <c r="B42" i="70"/>
  <c r="B36" i="70"/>
  <c r="B34" i="70"/>
  <c r="B32" i="70"/>
  <c r="B30" i="70"/>
  <c r="B28" i="70"/>
  <c r="B26" i="70"/>
  <c r="B24" i="70"/>
  <c r="B22" i="70"/>
  <c r="B20" i="70"/>
  <c r="B18" i="70"/>
  <c r="B16" i="70"/>
  <c r="B14" i="70"/>
  <c r="B12" i="70"/>
  <c r="B10" i="70"/>
  <c r="B8" i="70"/>
  <c r="B6" i="70"/>
  <c r="B4" i="70"/>
  <c r="B3" i="70"/>
  <c r="A56" i="70"/>
  <c r="A48" i="70"/>
  <c r="A42" i="70"/>
  <c r="A36" i="70"/>
  <c r="A59" i="70"/>
  <c r="A55" i="70"/>
  <c r="A51" i="70"/>
  <c r="A47" i="70"/>
  <c r="A43" i="70"/>
  <c r="A39" i="70"/>
  <c r="A35" i="70"/>
  <c r="A31" i="70"/>
  <c r="A27" i="70"/>
  <c r="A23" i="70"/>
  <c r="A19" i="70"/>
  <c r="A15" i="70"/>
  <c r="A11" i="70"/>
  <c r="A9" i="70"/>
  <c r="A5" i="70"/>
  <c r="A54" i="70"/>
  <c r="A50" i="70"/>
  <c r="A44" i="70"/>
  <c r="A38" i="70"/>
  <c r="A57" i="70"/>
  <c r="A53" i="70"/>
  <c r="A49" i="70"/>
  <c r="A45" i="70"/>
  <c r="A41" i="70"/>
  <c r="A37" i="70"/>
  <c r="A33" i="70"/>
  <c r="A29" i="70"/>
  <c r="A25" i="70"/>
  <c r="A21" i="70"/>
  <c r="A17" i="70"/>
  <c r="A13" i="70"/>
  <c r="A7" i="70"/>
  <c r="A58" i="70"/>
  <c r="A52" i="70"/>
  <c r="A46" i="70"/>
  <c r="A40" i="70"/>
  <c r="A34" i="70"/>
  <c r="A32" i="70"/>
  <c r="A30" i="70"/>
  <c r="A28" i="70"/>
  <c r="A26" i="70"/>
  <c r="A24" i="70"/>
  <c r="A22" i="70"/>
  <c r="A20" i="70"/>
  <c r="A18" i="70"/>
  <c r="A16" i="70"/>
  <c r="A14" i="70"/>
  <c r="A12" i="70"/>
  <c r="A10" i="70"/>
  <c r="A8" i="70"/>
  <c r="A6" i="70"/>
  <c r="A4" i="70"/>
  <c r="A3" i="70"/>
  <c r="A52" i="66"/>
  <c r="A46" i="66"/>
  <c r="A40" i="66"/>
  <c r="A38" i="66"/>
  <c r="A53" i="66"/>
  <c r="A49" i="66"/>
  <c r="A45" i="66"/>
  <c r="A43" i="66"/>
  <c r="A39" i="66"/>
  <c r="A33" i="66"/>
  <c r="A29" i="66"/>
  <c r="A27" i="66"/>
  <c r="A23" i="66"/>
  <c r="A17" i="66"/>
  <c r="A13" i="66"/>
  <c r="A11" i="66"/>
  <c r="A7" i="66"/>
  <c r="A54" i="66"/>
  <c r="A48" i="66"/>
  <c r="A44" i="66"/>
  <c r="A36" i="66"/>
  <c r="A51" i="66"/>
  <c r="A47" i="66"/>
  <c r="A41" i="66"/>
  <c r="A37" i="66"/>
  <c r="A35" i="66"/>
  <c r="A31" i="66"/>
  <c r="A25" i="66"/>
  <c r="A21" i="66"/>
  <c r="A19" i="66"/>
  <c r="A15" i="66"/>
  <c r="A9" i="66"/>
  <c r="A5" i="66"/>
  <c r="A50" i="66"/>
  <c r="A42" i="66"/>
  <c r="A34" i="66"/>
  <c r="A32" i="66"/>
  <c r="A30" i="66"/>
  <c r="A28" i="66"/>
  <c r="A26" i="66"/>
  <c r="A24" i="66"/>
  <c r="A22" i="66"/>
  <c r="A20" i="66"/>
  <c r="A18" i="66"/>
  <c r="A16" i="66"/>
  <c r="A14" i="66"/>
  <c r="A12" i="66"/>
  <c r="A10" i="66"/>
  <c r="A8" i="66"/>
  <c r="A6" i="66"/>
  <c r="A4" i="66"/>
  <c r="B52" i="66"/>
  <c r="B46" i="66"/>
  <c r="B40" i="66"/>
  <c r="B36" i="66"/>
  <c r="B30" i="66"/>
  <c r="B51" i="66"/>
  <c r="B47" i="66"/>
  <c r="B43" i="66"/>
  <c r="B39" i="66"/>
  <c r="B35" i="66"/>
  <c r="B31" i="66"/>
  <c r="B27" i="66"/>
  <c r="B23" i="66"/>
  <c r="B19" i="66"/>
  <c r="B15" i="66"/>
  <c r="B11" i="66"/>
  <c r="B5" i="66"/>
  <c r="B54" i="66"/>
  <c r="B50" i="66"/>
  <c r="B44" i="66"/>
  <c r="B38" i="66"/>
  <c r="B34" i="66"/>
  <c r="B28" i="66"/>
  <c r="B53" i="66"/>
  <c r="B49" i="66"/>
  <c r="B45" i="66"/>
  <c r="B41" i="66"/>
  <c r="B37" i="66"/>
  <c r="B33" i="66"/>
  <c r="B29" i="66"/>
  <c r="B25" i="66"/>
  <c r="B21" i="66"/>
  <c r="B17" i="66"/>
  <c r="B13" i="66"/>
  <c r="B9" i="66"/>
  <c r="B7" i="66"/>
  <c r="B48" i="66"/>
  <c r="B42" i="66"/>
  <c r="B32" i="66"/>
  <c r="B26" i="66"/>
  <c r="B24" i="66"/>
  <c r="B22" i="66"/>
  <c r="B20" i="66"/>
  <c r="B18" i="66"/>
  <c r="B16" i="66"/>
  <c r="B14" i="66"/>
  <c r="B12" i="66"/>
  <c r="B10" i="66"/>
  <c r="B8" i="66"/>
  <c r="B6" i="66"/>
  <c r="B4" i="66"/>
  <c r="B3" i="66"/>
  <c r="A3" i="66" a="1"/>
  <c r="A3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<sst xmlns="http://schemas.openxmlformats.org/spreadsheetml/2006/main" count="1629" uniqueCount="417">
  <si>
    <t>CNY</t>
  </si>
  <si>
    <t>CAD</t>
  </si>
  <si>
    <t>EDF</t>
  </si>
  <si>
    <t>EUR</t>
  </si>
  <si>
    <t>ROA</t>
  </si>
  <si>
    <t>LMT</t>
  </si>
  <si>
    <t>GEO</t>
  </si>
  <si>
    <t>Germany</t>
  </si>
  <si>
    <t>Italy</t>
  </si>
  <si>
    <t>France</t>
  </si>
  <si>
    <t>United Kingdom</t>
  </si>
  <si>
    <t>2021-08-31</t>
  </si>
  <si>
    <t>USD</t>
  </si>
  <si>
    <t>United States</t>
  </si>
  <si>
    <t>Semiconductors</t>
  </si>
  <si>
    <t>Micron Technology, Inc.</t>
  </si>
  <si>
    <t>MU</t>
  </si>
  <si>
    <t>2020-12-31</t>
  </si>
  <si>
    <t>Entertainment</t>
  </si>
  <si>
    <t>BOLLORE SE</t>
  </si>
  <si>
    <t>BOL.PA</t>
  </si>
  <si>
    <t>2021-12-31</t>
  </si>
  <si>
    <t>Oil &amp; Gas Integrated</t>
  </si>
  <si>
    <t>TOTALENERGIES</t>
  </si>
  <si>
    <t>TTE.PA</t>
  </si>
  <si>
    <t>Spain</t>
  </si>
  <si>
    <t>REPSOL,  S.A.</t>
  </si>
  <si>
    <t>REP.MC</t>
  </si>
  <si>
    <t>2021-03-31</t>
  </si>
  <si>
    <t>HKD</t>
  </si>
  <si>
    <t>China</t>
  </si>
  <si>
    <t>Internet Retail</t>
  </si>
  <si>
    <t>BABA-SW</t>
  </si>
  <si>
    <t>9988.HK</t>
  </si>
  <si>
    <t>2021-06-30</t>
  </si>
  <si>
    <t>Canada</t>
  </si>
  <si>
    <t>Software—Infrastructure</t>
  </si>
  <si>
    <t>DYE AND DURHAM LIMITED</t>
  </si>
  <si>
    <t>DND.TO</t>
  </si>
  <si>
    <t>Household &amp; Personal Products</t>
  </si>
  <si>
    <t>HENGAN INT'L</t>
  </si>
  <si>
    <t>1044.HK</t>
  </si>
  <si>
    <t>Internet Content &amp; Information</t>
  </si>
  <si>
    <t>Alphabet Inc.</t>
  </si>
  <si>
    <t>GOOG</t>
  </si>
  <si>
    <t>Specialty Industrial Machinery</t>
  </si>
  <si>
    <t>ATS AUTOMATION</t>
  </si>
  <si>
    <t>ATA.TO</t>
  </si>
  <si>
    <t>SEK</t>
  </si>
  <si>
    <t>Sweden</t>
  </si>
  <si>
    <t>Specialty Business Services</t>
  </si>
  <si>
    <t>Green Landscaping Group AB</t>
  </si>
  <si>
    <t>GREEN.ST</t>
  </si>
  <si>
    <t>Building Products &amp; Equipment</t>
  </si>
  <si>
    <t>SCIUKER FRAMES</t>
  </si>
  <si>
    <t>SCK.MI</t>
  </si>
  <si>
    <t>Staffing &amp; Employment Services</t>
  </si>
  <si>
    <t>Mastech Digital, Inc</t>
  </si>
  <si>
    <t>MHH</t>
  </si>
  <si>
    <t>GBP</t>
  </si>
  <si>
    <t>GBp</t>
  </si>
  <si>
    <t>Real Estate Services</t>
  </si>
  <si>
    <t>BELVOIR GROUP PLC ORD 1P</t>
  </si>
  <si>
    <t>BLV.L</t>
  </si>
  <si>
    <t>Furnishings, Fixtures &amp; Appliances</t>
  </si>
  <si>
    <t>VICTORIA PLC ORD 5P</t>
  </si>
  <si>
    <t>VCP.L</t>
  </si>
  <si>
    <t>SAVARIA CORP.</t>
  </si>
  <si>
    <t>SIS.TO</t>
  </si>
  <si>
    <t>Security &amp; Protection Services</t>
  </si>
  <si>
    <t>MARLOWE PLC ORD 50P</t>
  </si>
  <si>
    <t>MRL.L</t>
  </si>
  <si>
    <t>2020-09-30</t>
  </si>
  <si>
    <t>Information Technology Services</t>
  </si>
  <si>
    <t>DATAGROUP SE  INH. O.N.</t>
  </si>
  <si>
    <t>D6H.DE</t>
  </si>
  <si>
    <t>Conglomerates</t>
  </si>
  <si>
    <t>Volati AB</t>
  </si>
  <si>
    <t>VOLO.ST</t>
  </si>
  <si>
    <t>CY4GATE</t>
  </si>
  <si>
    <t>CY4.MI</t>
  </si>
  <si>
    <t xml:space="preserve">TELUS International (Cda) Inc. </t>
  </si>
  <si>
    <t>TIXT</t>
  </si>
  <si>
    <t>Finland</t>
  </si>
  <si>
    <t>Electronic Components</t>
  </si>
  <si>
    <t>Incap Corporation</t>
  </si>
  <si>
    <t>ICP1V.HE</t>
  </si>
  <si>
    <t>Meta Platforms, Inc.</t>
  </si>
  <si>
    <t>FB</t>
  </si>
  <si>
    <t>BIC</t>
  </si>
  <si>
    <t>BB.PA</t>
  </si>
  <si>
    <t>REIT—Healthcare Facilities</t>
  </si>
  <si>
    <t>Geo Group Inc (The) REIT</t>
  </si>
  <si>
    <t>Packaged Foods</t>
  </si>
  <si>
    <t>NEWLAT FOOD</t>
  </si>
  <si>
    <t>NWL.MI</t>
  </si>
  <si>
    <t>Advertising Agencies</t>
  </si>
  <si>
    <t>Awardit AB</t>
  </si>
  <si>
    <t>AWRD.ST</t>
  </si>
  <si>
    <t>2021-01-31</t>
  </si>
  <si>
    <t>Specialty Retail</t>
  </si>
  <si>
    <t>JD SPORTS FASHION PLC ORD 0.05P</t>
  </si>
  <si>
    <t>JD.L</t>
  </si>
  <si>
    <t>2021-11-30</t>
  </si>
  <si>
    <t>Restaurants</t>
  </si>
  <si>
    <t>MTY FOOD GROUP INC</t>
  </si>
  <si>
    <t>MTY.TO</t>
  </si>
  <si>
    <t>KAISA PROSPER</t>
  </si>
  <si>
    <t>2168.HK</t>
  </si>
  <si>
    <t>Telecom Services</t>
  </si>
  <si>
    <t>CHINA TOWER</t>
  </si>
  <si>
    <t>0788.HK</t>
  </si>
  <si>
    <t>Intel Corporation</t>
  </si>
  <si>
    <t>INTC</t>
  </si>
  <si>
    <t>Baidu, Inc.</t>
  </si>
  <si>
    <t>BIDU</t>
  </si>
  <si>
    <t>General Electric Company</t>
  </si>
  <si>
    <t>GE</t>
  </si>
  <si>
    <t>Utilities—Diversified</t>
  </si>
  <si>
    <t>EDF.PA</t>
  </si>
  <si>
    <t>Unilever PLC</t>
  </si>
  <si>
    <t>UL</t>
  </si>
  <si>
    <t>Electronic Gaming &amp; Multimedia</t>
  </si>
  <si>
    <t>Activision Blizzard, Inc</t>
  </si>
  <si>
    <t>ATVI</t>
  </si>
  <si>
    <t>Amazon.com, Inc.</t>
  </si>
  <si>
    <t>AMZN</t>
  </si>
  <si>
    <t>Microsoft Corporation</t>
  </si>
  <si>
    <t>MSFT</t>
  </si>
  <si>
    <t>Plastic</t>
  </si>
  <si>
    <t>Viscofan</t>
  </si>
  <si>
    <t>VIS.MC</t>
  </si>
  <si>
    <t>Grocery Stores</t>
  </si>
  <si>
    <t>Sprouts Farmers Market, Inc.</t>
  </si>
  <si>
    <t>SFM</t>
  </si>
  <si>
    <t>Hong Kong</t>
  </si>
  <si>
    <t>CHINA UNICOM</t>
  </si>
  <si>
    <t>0762.HK</t>
  </si>
  <si>
    <t>TELEFONICA,S.A.</t>
  </si>
  <si>
    <t>TEF.MC</t>
  </si>
  <si>
    <t>ORANGE</t>
  </si>
  <si>
    <t>ORA.PA</t>
  </si>
  <si>
    <t>Alibaba Group Holding Limited</t>
  </si>
  <si>
    <t>BABA</t>
  </si>
  <si>
    <t>JPY</t>
  </si>
  <si>
    <t>Japan</t>
  </si>
  <si>
    <t>Specialty Chemicals</t>
  </si>
  <si>
    <t>NIHON PARKERIZING CO</t>
  </si>
  <si>
    <t>4095.T</t>
  </si>
  <si>
    <t>ECONOCOM GROUP</t>
  </si>
  <si>
    <t>ECONB.BR</t>
  </si>
  <si>
    <t>Defense</t>
  </si>
  <si>
    <t>Lockheed Martin</t>
  </si>
  <si>
    <t>GDI INTEGRATED FACILITY SERVICE</t>
  </si>
  <si>
    <t>GDI.TO</t>
  </si>
  <si>
    <t>Medical Care Facilities</t>
  </si>
  <si>
    <t>KORIAN</t>
  </si>
  <si>
    <t>KORI.PA</t>
  </si>
  <si>
    <t>ORPEA</t>
  </si>
  <si>
    <t>ORP.PA</t>
  </si>
  <si>
    <t>LNA SANTE</t>
  </si>
  <si>
    <t>LNA.PA</t>
  </si>
  <si>
    <t>Packaging</t>
  </si>
  <si>
    <t>Reno Di Medici</t>
  </si>
  <si>
    <t>RM.MI</t>
  </si>
  <si>
    <t>sql_insert</t>
  </si>
  <si>
    <t>TargetPrice</t>
  </si>
  <si>
    <t>DividendYield</t>
  </si>
  <si>
    <t>EquityTendency</t>
  </si>
  <si>
    <t>NetIncomeTendency</t>
  </si>
  <si>
    <t>OperatingCashFlowTendency</t>
  </si>
  <si>
    <t>FreeCashFlowTendency</t>
  </si>
  <si>
    <t>EBITDATendency</t>
  </si>
  <si>
    <t>DCFValuewithExitMultiplePotential</t>
  </si>
  <si>
    <t>EntrepriseValueUSD</t>
  </si>
  <si>
    <t>InterestExpensetoEBIT</t>
  </si>
  <si>
    <t>MeanNetDebttoEBITDA</t>
  </si>
  <si>
    <t>NetDebttoEBITDA</t>
  </si>
  <si>
    <t>LiabilitiestoEquityRatio</t>
  </si>
  <si>
    <t>DebtQualityRatio</t>
  </si>
  <si>
    <t>CashOverStockPrice</t>
  </si>
  <si>
    <t>LiquidityRatio</t>
  </si>
  <si>
    <t>Beta</t>
  </si>
  <si>
    <t>ROCE</t>
  </si>
  <si>
    <t>ROE</t>
  </si>
  <si>
    <t>MeanPricetoFreeCashFlowRate</t>
  </si>
  <si>
    <t>CurrentPricetoFreeCashFlowRate</t>
  </si>
  <si>
    <t>CurrentPricetoBook</t>
  </si>
  <si>
    <t>CurrentEVEBIT</t>
  </si>
  <si>
    <t>MeanEVEBITDA</t>
  </si>
  <si>
    <t>CurrentEVEBITDA</t>
  </si>
  <si>
    <t>MeanPER</t>
  </si>
  <si>
    <t>CurrentPER</t>
  </si>
  <si>
    <t>LastReportDate</t>
  </si>
  <si>
    <t>ReportCurrency</t>
  </si>
  <si>
    <t>StockCurrency</t>
  </si>
  <si>
    <t>Country</t>
  </si>
  <si>
    <t>Sector</t>
  </si>
  <si>
    <t>CurrentPrice</t>
  </si>
  <si>
    <t>CompanyName</t>
  </si>
  <si>
    <t>Ticker</t>
  </si>
  <si>
    <t xml:space="preserve"> DOUBLE,</t>
  </si>
  <si>
    <t>`EquityTendency` DOUBLE,</t>
  </si>
  <si>
    <t>`NetIncomeTendency` DOUBLE,</t>
  </si>
  <si>
    <t xml:space="preserve"> DOUBLE</t>
  </si>
  <si>
    <t>`OperatingCashFlowTendency` DOUBLE</t>
  </si>
  <si>
    <t>`FreeCashFlowTendency` DOUBLE,</t>
  </si>
  <si>
    <t>`EBITDATendency` DOUBLE,</t>
  </si>
  <si>
    <t>DCFValuewithExitMultiple</t>
  </si>
  <si>
    <t>`DCFValuewithExitMultiple` DOUBLE,</t>
  </si>
  <si>
    <t>`EntrepriseValueUSD` DOUBLE,</t>
  </si>
  <si>
    <t>`InterestExpensetoEBIT` DOUBLE,</t>
  </si>
  <si>
    <t>`MeanNetDebttoEBITDA` DOUBLE,</t>
  </si>
  <si>
    <t>`NetDebttoEBITDA` DOUBLE,</t>
  </si>
  <si>
    <t>`LiabilitiestoEquityRatio` DOUBLE,</t>
  </si>
  <si>
    <t>`DebtQualityRatio` DOUBLE,</t>
  </si>
  <si>
    <t>CashperShare</t>
  </si>
  <si>
    <t>`CashperShare` DOUBLE,</t>
  </si>
  <si>
    <t>`LiquidityRatio` DOUBLE,</t>
  </si>
  <si>
    <t>`Beta` DOUBLE,</t>
  </si>
  <si>
    <t>`ROA` DOUBLE,</t>
  </si>
  <si>
    <t>`ROCE` DOUBLE,</t>
  </si>
  <si>
    <t>`ROE` DOUBLE,</t>
  </si>
  <si>
    <t>PayOut</t>
  </si>
  <si>
    <t>`PayOut` DOUBLE,</t>
  </si>
  <si>
    <t>`DividendYield` DOUBLE,</t>
  </si>
  <si>
    <t xml:space="preserve"> DOUB</t>
  </si>
  <si>
    <t>`MeanPricetoFreeCashFlowRate` DOUB</t>
  </si>
  <si>
    <t xml:space="preserve"> D</t>
  </si>
  <si>
    <t>`CurrentPricetoFreeCashFlowRate` D</t>
  </si>
  <si>
    <t>`CurrentPricetoBook` DOUBLE,</t>
  </si>
  <si>
    <t>`CurrentEVEBIT` DOUBLE,</t>
  </si>
  <si>
    <t>`MeanEVEBITDA` DOUBLE,</t>
  </si>
  <si>
    <t>`CurrentEVEBITDA` DOUBLE,</t>
  </si>
  <si>
    <t>`MeanPER` DOUBLE,</t>
  </si>
  <si>
    <t>`CurrentPER` DOUBLE,</t>
  </si>
  <si>
    <t xml:space="preserve"> VARCHAR(255) NOT NULL,</t>
  </si>
  <si>
    <t>Currency</t>
  </si>
  <si>
    <t>`Currency` VARCHAR(255) NOT NULL,</t>
  </si>
  <si>
    <t xml:space="preserve"> TEXT,</t>
  </si>
  <si>
    <t xml:space="preserve">-- </t>
  </si>
  <si>
    <t>-- `Sector` TEXT,</t>
  </si>
  <si>
    <t>`CurrentPrice` DOUBLE,</t>
  </si>
  <si>
    <t>-- `CompanyName` TEXT,</t>
  </si>
  <si>
    <t>`Ticker` VARCHAR(255) NOT NULL,</t>
  </si>
  <si>
    <t>CompanyId</t>
  </si>
  <si>
    <t>SectorId</t>
  </si>
  <si>
    <t>d8e71bfac07c4902a56cc0fe4d26e5c5</t>
  </si>
  <si>
    <t>d8dbc4d5a2a643978ea9e2f580085caa</t>
  </si>
  <si>
    <t>4678c50d40cc4b4580823c105925092e</t>
  </si>
  <si>
    <t>24d059265a434a20a9e6fc3166491e61</t>
  </si>
  <si>
    <t>ab42057f7bea4dec8b5e7cf73fd2516f</t>
  </si>
  <si>
    <t>5f50aeaa8bec4278a8e5b945567cf0ba</t>
  </si>
  <si>
    <t>b6d893239bcc40e79f6344f18bb32e9c</t>
  </si>
  <si>
    <t>ec1e1439c1ea489caa0efe6d148ab00a</t>
  </si>
  <si>
    <t>4de8ff299f3447d4bb981ee7fa28b2a5</t>
  </si>
  <si>
    <t>8921f3f2b17e42b3ad321d7e00abdcd0</t>
  </si>
  <si>
    <t>ffe199507e8c4f6fa6c7e379fe752f82</t>
  </si>
  <si>
    <t>615be309c15d44b9abe7e5d740032d6d</t>
  </si>
  <si>
    <t>78846dd001d54eb7936d1227c5296be8</t>
  </si>
  <si>
    <t>676dbe7fb48d468eb825d10efe25e743</t>
  </si>
  <si>
    <t>80d974e961af4087b784ae98698f8146</t>
  </si>
  <si>
    <t>b029d52308ea4fbda43ceba2cfa78054</t>
  </si>
  <si>
    <t>b2e0b66e178045bbb7d78e0ff9d1ab7e</t>
  </si>
  <si>
    <t>c2ec7406915b4114bee2a26d07b1bda1</t>
  </si>
  <si>
    <t>ceb5756f9b3e4f4b8683e9593444c376</t>
  </si>
  <si>
    <t>4dd1891ae20f461ba64107df57c69fcd</t>
  </si>
  <si>
    <t>f9db59f702284cbea3e02fe6f98b93e5</t>
  </si>
  <si>
    <t>8cca718729964685b37ca086e14248db</t>
  </si>
  <si>
    <t>88efc28a1a0f41ab8d76891ba90fb7ad</t>
  </si>
  <si>
    <t>6b9dfedf359b41eabfc5540cf840a1a6</t>
  </si>
  <si>
    <t>907c5d9ca53d41bc8a2c6184cfc3e3aa</t>
  </si>
  <si>
    <t>ee8e912a57e041c982c1f5f2a3222ff0</t>
  </si>
  <si>
    <t>1ac6b1bb738644ddba034c314a4c974a</t>
  </si>
  <si>
    <t>5eb855557cc74e37aa3ffa63414ffeec</t>
  </si>
  <si>
    <t>Industry</t>
  </si>
  <si>
    <t>BalanceSheetDate</t>
  </si>
  <si>
    <t>LastYearReport</t>
  </si>
  <si>
    <t>PercentInsidersHold</t>
  </si>
  <si>
    <t>PercentInstitutionsHold</t>
  </si>
  <si>
    <t>SharesOutstanding</t>
  </si>
  <si>
    <t>UBER</t>
  </si>
  <si>
    <t>Uber Technologies, Inc.</t>
  </si>
  <si>
    <t>Software—Application</t>
  </si>
  <si>
    <t>Technology</t>
  </si>
  <si>
    <t>MCD</t>
  </si>
  <si>
    <t>McDonald's Corporation</t>
  </si>
  <si>
    <t>Consumer Cyclical</t>
  </si>
  <si>
    <t>Communication Services</t>
  </si>
  <si>
    <t>Consumer Defensive</t>
  </si>
  <si>
    <t>Stone Harbor Emerging Markets I</t>
  </si>
  <si>
    <t>Asset Management</t>
  </si>
  <si>
    <t>Financial Services</t>
  </si>
  <si>
    <t>Utilities</t>
  </si>
  <si>
    <t>Industrials</t>
  </si>
  <si>
    <t>Real Estate</t>
  </si>
  <si>
    <t>Healthcare</t>
  </si>
  <si>
    <t>EMBRAC-B.ST</t>
  </si>
  <si>
    <t>Embracer Group AB ser. B</t>
  </si>
  <si>
    <t>CSAM.OL</t>
  </si>
  <si>
    <t>CSAM HEALTH GROUP</t>
  </si>
  <si>
    <t>NOK</t>
  </si>
  <si>
    <t>Norway</t>
  </si>
  <si>
    <t>Health Information Services</t>
  </si>
  <si>
    <t>Energy</t>
  </si>
  <si>
    <t>Basic Materials</t>
  </si>
  <si>
    <t>3f4e7fcfddec4490891c2dd2eb751cbf</t>
  </si>
  <si>
    <t>15632ba4e4504817bea2daa77b05c24f</t>
  </si>
  <si>
    <t>59f6a403fd9d42e5ab1c9b323ca7f106</t>
  </si>
  <si>
    <t>7ee1302635724e59953dc411f782dc97</t>
  </si>
  <si>
    <t>b80664869519496c992d89824fa03b97</t>
  </si>
  <si>
    <t>4f5e64f1324444feb1078ba8451b8ed9</t>
  </si>
  <si>
    <t>c20ae476919c405fbb7ee270bd6adced</t>
  </si>
  <si>
    <t>1c6f25d2a22c42b3af5cc483a2178a92</t>
  </si>
  <si>
    <t>8a4f7a0b1caf4f58ac13d517673a5262</t>
  </si>
  <si>
    <t>c2a5ef1ff8a0400881864e526eba1a72</t>
  </si>
  <si>
    <t>c87370c4b05342eeb240e4ca5c651495</t>
  </si>
  <si>
    <t>c668f1f34b084198b566b6ad619b6781</t>
  </si>
  <si>
    <t>d3536046bf00437cb1169f5e05b9eb47</t>
  </si>
  <si>
    <t>ba705ca249774c1ca42daaf49f4dd941</t>
  </si>
  <si>
    <t>55f6e75ee0764fefab1da6af7f96291e</t>
  </si>
  <si>
    <t>35684995e6344295aa337bc81078460c</t>
  </si>
  <si>
    <t>4026c9373392433c9c9c02bcd4ca4511</t>
  </si>
  <si>
    <t>a024fbbf36aa41b9956fece11c7743b7</t>
  </si>
  <si>
    <t>b7606729eb0f40108774a995ec880afa</t>
  </si>
  <si>
    <t>8de77400321f4b3ab235689d4cc1ea1d</t>
  </si>
  <si>
    <t>63c50a9fbaad4e369da1f59e3f0b3987</t>
  </si>
  <si>
    <t>3a5602be05f048e9987287203659f82f</t>
  </si>
  <si>
    <t>560deb9c86d84a26a5975e2c318c4d08</t>
  </si>
  <si>
    <t>dae01fbfa6aa4da48052f7c1e3421ace</t>
  </si>
  <si>
    <t>e6f1fb77f48f4094b509a7cfc276dea5</t>
  </si>
  <si>
    <t>d3f3d3d684784120a3a8d953b551b612</t>
  </si>
  <si>
    <t>ddf28b2726e44f3e804640c81ca15e37</t>
  </si>
  <si>
    <t>858949ff4ec046a88c19350dbd94a4d2</t>
  </si>
  <si>
    <t>b1e501758e9d4c87bcf25bd5547ec375</t>
  </si>
  <si>
    <t>27a1819ebc1548559bfb2dbef5034c99</t>
  </si>
  <si>
    <t>83483bb34aed4456a558053e108fc571</t>
  </si>
  <si>
    <t>d0075a1c73044f51b224119379dc022a</t>
  </si>
  <si>
    <t>9138d4c2dc624b35a9e0defb85ac7789</t>
  </si>
  <si>
    <t>ef8f2244ebbf47a19e0b81fa78a968b9</t>
  </si>
  <si>
    <t>65312d400e2c4e238d330ef147e6ab13</t>
  </si>
  <si>
    <t>bf0d571c423e42638ae8033706dd413a</t>
  </si>
  <si>
    <t>bc23f6487b114876a47f2af39171d75a</t>
  </si>
  <si>
    <t>d6158b0024404f8a9e94999fa667f572</t>
  </si>
  <si>
    <t>1de3228eab6b463b9d188f9d658da5ef</t>
  </si>
  <si>
    <t>6563ce6a01e344c4b9448a05388f7562</t>
  </si>
  <si>
    <t>4182c87932a54d4f925af780f5f85813</t>
  </si>
  <si>
    <t>2c55a1111e7041ceb8fb0534c2f5067e</t>
  </si>
  <si>
    <t>d9c5069a6cff4d2cb297d3e53f61d986</t>
  </si>
  <si>
    <t>4460ecd85ab74e2381fd4e2ec0aef0e1</t>
  </si>
  <si>
    <t>5183acf9b17341a9a3a2ad3a3f2d56da</t>
  </si>
  <si>
    <t>e7ed26c60203403183d54362bffe82cb</t>
  </si>
  <si>
    <t>5965c4d000504a028a77b87596ca1be6</t>
  </si>
  <si>
    <t>7b34c596f56a4cd08c67c9ff0210deb3</t>
  </si>
  <si>
    <t>1a6264fa21f84828ad3cc0dd7dbeecbc</t>
  </si>
  <si>
    <t>83fb7cd1aeb548d5a46c18c4203d483c</t>
  </si>
  <si>
    <t>2fe12cf7473843d79f86130fa3d16dcb</t>
  </si>
  <si>
    <t>a3c565220975417b8e2aa3e5e03a0a98</t>
  </si>
  <si>
    <t>6b25fe333a084a54ad227d5277fcfdc3</t>
  </si>
  <si>
    <t>1e2fc9b459044cda8554e92177cc2438</t>
  </si>
  <si>
    <t>af308843540445a584fd60bab7ee816f</t>
  </si>
  <si>
    <t>ed7503dc7a5a48ca8384e064a0880abf</t>
  </si>
  <si>
    <t>b4d88d61ae8841828a95da772b9ea4df</t>
  </si>
  <si>
    <t>sql_update</t>
  </si>
  <si>
    <t>9c5004f50c204ffc94b3a1762c945eac</t>
  </si>
  <si>
    <t>0e3978718a394261b4b9f8376b21ed40</t>
  </si>
  <si>
    <t>55fa45c00a394112b7cc2b7070e6fdbc</t>
  </si>
  <si>
    <t>IndustryId</t>
  </si>
  <si>
    <t>2fd75f24aa5149e7b17a86a49123ac88</t>
  </si>
  <si>
    <t>b580b9b58ea14d159fcbf78ea9d5a4bc</t>
  </si>
  <si>
    <t>e54d4e98453c4ba2824fa1e65ad3be3a</t>
  </si>
  <si>
    <t>da0227ccdfd2471b94078b745f53e9aa</t>
  </si>
  <si>
    <t>e55df1410a5e45d38db4a23885a5c6b4</t>
  </si>
  <si>
    <t>c83db4a857dc4b91b157a7f4fb4e2f05</t>
  </si>
  <si>
    <t>a436973cb1f74733849efe879a001a52</t>
  </si>
  <si>
    <t>9ad2a2ce48a14504a8083636de7677b2</t>
  </si>
  <si>
    <t>a08ce34da04f4ab8b7c796f30dc40876</t>
  </si>
  <si>
    <t>9853be4e29a7433c8c9c7f18443a891e</t>
  </si>
  <si>
    <t>0392637cb8864cc584ad6663542080ef</t>
  </si>
  <si>
    <t>CountryId</t>
  </si>
  <si>
    <t>d56d9f2812d94be4bfbf907aaa847093</t>
  </si>
  <si>
    <t>d562b7290f83412486db78eeca1a1571</t>
  </si>
  <si>
    <t>c981e5cfd9ad41f68891f020f5b1d9ca</t>
  </si>
  <si>
    <t>3e8853bbaebd453688f689ac70ed2299</t>
  </si>
  <si>
    <t>ef4eb3ba9070411b9fdb0e2d7bb7ecda</t>
  </si>
  <si>
    <t>8bf5b74ef4a74d118cfc8894e88fe5c9</t>
  </si>
  <si>
    <t>7c0b2940e6a3417e9b871a3626d77b94</t>
  </si>
  <si>
    <t>de036935764b4ce5ab50fa376a8e901d</t>
  </si>
  <si>
    <t>5a336a110cc14a118c349e651c5e65a6</t>
  </si>
  <si>
    <t>967a0b1e06514a46abc59378a7bdf7f7</t>
  </si>
  <si>
    <t>5264fc5611d1402eb34796c87d9f6472</t>
  </si>
  <si>
    <t>c0a917ab0f19441aafbe3feafcc1f2f5</t>
  </si>
  <si>
    <t>879f29811883416593d46289d1d09328</t>
  </si>
  <si>
    <t>c5ed441a062d4d10b7b3338b381eb8b3</t>
  </si>
  <si>
    <t>09927d6549384de58fb37c823db64319</t>
  </si>
  <si>
    <t>d5071c28308c48748eaf4aa5c7237bc6</t>
  </si>
  <si>
    <t>FLOAT</t>
  </si>
  <si>
    <t>DATE</t>
  </si>
  <si>
    <t>Type</t>
  </si>
  <si>
    <t>Table</t>
  </si>
  <si>
    <t>FundamentalAnalysis</t>
  </si>
  <si>
    <t>Column</t>
  </si>
  <si>
    <t>VARCHAR(255)</t>
  </si>
  <si>
    <t>VARCHAR(16)</t>
  </si>
  <si>
    <t>DOUBLE</t>
  </si>
  <si>
    <t>VARCHAR(32)</t>
  </si>
  <si>
    <t>VARCHAR(3)</t>
  </si>
  <si>
    <t>INT</t>
  </si>
  <si>
    <t>Companies</t>
  </si>
  <si>
    <t>NN</t>
  </si>
  <si>
    <t>Default</t>
  </si>
  <si>
    <t>NOT NULL</t>
  </si>
  <si>
    <t>DEFAULT NULL</t>
  </si>
  <si>
    <t>DEFAULT 0</t>
  </si>
  <si>
    <t>sql_field</t>
  </si>
  <si>
    <t>remove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</si>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</sst>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€&quot;_-;\-* #,##0.00\ &quot;€&quot;_-;_-* &quot;-&quot;??\ &quot;€&quot;_-;_-@_-"/>
    <numFmt numFmtId="165" formatCode="_-* #,##0.00\ _X_D_R_-;\-* #,##0.00\ _X_D_R_-;_-* &quot;-&quot;??\ _X_D_R_-;_-@_-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/>
    <xf numFmtId="0" fontId="3" fillId="0" borderId="2" xfId="0" applyFont="1" applyBorder="1"/>
    <xf numFmtId="0" fontId="3" fillId="0" borderId="1" xfId="0" applyFont="1" applyBorder="1"/>
    <xf numFmtId="14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5" borderId="0" xfId="0" applyNumberFormat="1" applyFill="1"/>
    <xf numFmtId="0" fontId="0" fillId="8" borderId="0" xfId="0" applyFill="1"/>
    <xf numFmtId="0" fontId="0" fillId="8" borderId="0" xfId="0" applyNumberFormat="1" applyFill="1"/>
    <xf numFmtId="0" fontId="0" fillId="9" borderId="0" xfId="0" applyFill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</cellXfs>
  <cellStyles count="4">
    <cellStyle name="Millares 2" xfId="2" xr:uid="{89EA9C39-78B0-430A-BC50-28D2AB727B08}"/>
    <cellStyle name="Moneda 2" xfId="3" xr:uid="{C9BE47E0-8FE7-4147-825E-EA4FA1D8105F}"/>
    <cellStyle name="Normal" xfId="0" builtinId="0"/>
    <cellStyle name="Normal 2" xfId="1" xr:uid="{02481D96-2D75-4419-8DDB-C2E6F4E60DEC}"/>
  </cellStyles>
  <dxfs count="103"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</border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/>
        </vertical>
        <horizontal style="thin">
          <color theme="0"/>
        </horizontal>
      </border>
    </dxf>
  </dxfs>
  <tableStyles count="10" defaultTableStyle="TableStyleMedium2" defaultPivotStyle="PivotStyleLight16">
    <tableStyle name="REE" pivot="0" count="8" xr9:uid="{60ECF158-3069-4CDB-B002-A2F66F79C3F2}">
      <tableStyleElement type="wholeTable" dxfId="102"/>
      <tableStyleElement type="headerRow" dxfId="101"/>
      <tableStyleElement type="totalRow" dxfId="100"/>
      <tableStyleElement type="firstColumn" dxfId="99"/>
      <tableStyleElement type="firstRowStripe" dxfId="98"/>
      <tableStyleElement type="secondRowStripe" dxfId="97"/>
      <tableStyleElement type="firstColumnStripe" dxfId="96"/>
      <tableStyleElement type="secondColumnStripe" dxfId="95"/>
    </tableStyle>
    <tableStyle name="REE 10" pivot="0" count="8" xr9:uid="{399C5693-27FD-4ABA-A8C7-9117781837FD}">
      <tableStyleElement type="wholeTable" dxfId="94"/>
      <tableStyleElement type="headerRow" dxfId="93"/>
      <tableStyleElement type="totalRow" dxfId="92"/>
      <tableStyleElement type="firstColumn" dxfId="91"/>
      <tableStyleElement type="firstRowStripe" dxfId="90"/>
      <tableStyleElement type="secondRowStripe" dxfId="89"/>
      <tableStyleElement type="firstColumnStripe" dxfId="88"/>
      <tableStyleElement type="secondColumnStripe" dxfId="87"/>
    </tableStyle>
    <tableStyle name="REE 2" pivot="0" count="8" xr9:uid="{F8838B77-DE06-475F-9AB4-E3F75175952E}">
      <tableStyleElement type="wholeTable" dxfId="86"/>
      <tableStyleElement type="headerRow" dxfId="85"/>
      <tableStyleElement type="totalRow" dxfId="84"/>
      <tableStyleElement type="firstColumn" dxfId="83"/>
      <tableStyleElement type="firstRowStripe" dxfId="82"/>
      <tableStyleElement type="secondRowStripe" dxfId="81"/>
      <tableStyleElement type="firstColumnStripe" dxfId="80"/>
      <tableStyleElement type="secondColumnStripe" dxfId="79"/>
    </tableStyle>
    <tableStyle name="REE 3" pivot="0" count="8" xr9:uid="{6AD3F3F5-2699-4DE8-9ABC-96EA5421651A}">
      <tableStyleElement type="wholeTable" dxfId="78"/>
      <tableStyleElement type="headerRow" dxfId="77"/>
      <tableStyleElement type="totalRow" dxfId="76"/>
      <tableStyleElement type="firstColumn" dxfId="75"/>
      <tableStyleElement type="firstRowStripe" dxfId="74"/>
      <tableStyleElement type="secondRowStripe" dxfId="73"/>
      <tableStyleElement type="firstColumnStripe" dxfId="72"/>
      <tableStyleElement type="secondColumnStripe" dxfId="71"/>
    </tableStyle>
    <tableStyle name="REE 4" pivot="0" count="8" xr9:uid="{D4D3D149-08EE-4BE9-B3C9-17B3256304B6}">
      <tableStyleElement type="wholeTable" dxfId="70"/>
      <tableStyleElement type="headerRow" dxfId="69"/>
      <tableStyleElement type="totalRow" dxfId="68"/>
      <tableStyleElement type="firstColumn" dxfId="67"/>
      <tableStyleElement type="firstRowStripe" dxfId="66"/>
      <tableStyleElement type="secondRowStripe" dxfId="65"/>
      <tableStyleElement type="firstColumnStripe" dxfId="64"/>
      <tableStyleElement type="secondColumnStripe" dxfId="63"/>
    </tableStyle>
    <tableStyle name="REE 5" pivot="0" count="8" xr9:uid="{EA7244D5-B5FA-48B9-A283-7583996AD8BB}">
      <tableStyleElement type="wholeTable" dxfId="62"/>
      <tableStyleElement type="headerRow" dxfId="61"/>
      <tableStyleElement type="totalRow" dxfId="60"/>
      <tableStyleElement type="firstColumn" dxfId="59"/>
      <tableStyleElement type="firstRowStripe" dxfId="58"/>
      <tableStyleElement type="secondRowStripe" dxfId="57"/>
      <tableStyleElement type="firstColumnStripe" dxfId="56"/>
      <tableStyleElement type="secondColumnStripe" dxfId="55"/>
    </tableStyle>
    <tableStyle name="REE 6" pivot="0" count="8" xr9:uid="{7B79F3A5-005C-485D-A37A-F23B81EA5366}">
      <tableStyleElement type="wholeTable" dxfId="54"/>
      <tableStyleElement type="headerRow" dxfId="53"/>
      <tableStyleElement type="totalRow" dxfId="52"/>
      <tableStyleElement type="firstColumn" dxfId="51"/>
      <tableStyleElement type="firstRowStripe" dxfId="50"/>
      <tableStyleElement type="secondRowStripe" dxfId="49"/>
      <tableStyleElement type="firstColumnStripe" dxfId="48"/>
      <tableStyleElement type="secondColumnStripe" dxfId="47"/>
    </tableStyle>
    <tableStyle name="REE 7" pivot="0" count="8" xr9:uid="{CD934B1A-0E0A-41D2-9D3E-822B7B84397E}">
      <tableStyleElement type="wholeTable" dxfId="46"/>
      <tableStyleElement type="headerRow" dxfId="45"/>
      <tableStyleElement type="totalRow" dxfId="44"/>
      <tableStyleElement type="firstColumn" dxfId="43"/>
      <tableStyleElement type="firstRowStripe" dxfId="42"/>
      <tableStyleElement type="secondRowStripe" dxfId="41"/>
      <tableStyleElement type="firstColumnStripe" dxfId="40"/>
      <tableStyleElement type="secondColumnStripe" dxfId="39"/>
    </tableStyle>
    <tableStyle name="REE 8" pivot="0" count="8" xr9:uid="{8338DC1E-8F88-4140-B5EB-7E5AF186136F}">
      <tableStyleElement type="wholeTable" dxfId="38"/>
      <tableStyleElement type="headerRow" dxfId="37"/>
      <tableStyleElement type="totalRow" dxfId="36"/>
      <tableStyleElement type="firstColumn" dxfId="35"/>
      <tableStyleElement type="firstRowStripe" dxfId="34"/>
      <tableStyleElement type="secondRowStripe" dxfId="33"/>
      <tableStyleElement type="firstColumnStripe" dxfId="32"/>
      <tableStyleElement type="secondColumnStripe" dxfId="31"/>
    </tableStyle>
    <tableStyle name="REE 9" pivot="0" count="8" xr9:uid="{0DF02DE6-76F2-4B33-BC9F-D3D33762353F}">
      <tableStyleElement type="wholeTable" dxfId="30"/>
      <tableStyleElement type="headerRow" dxfId="29"/>
      <tableStyleElement type="totalRow" dxfId="28"/>
      <tableStyleElement type="firstColumn" dxfId="27"/>
      <tableStyleElement type="firstRowStripe" dxfId="26"/>
      <tableStyleElement type="secondRowStripe" dxfId="25"/>
      <tableStyleElement type="firstColumnStripe" dxfId="24"/>
      <tableStyleElement type="secondColumnStripe" dxfId="23"/>
    </tableStyle>
  </tableStyles>
  <colors>
    <mruColors>
      <color rgb="FFFF66FF"/>
      <color rgb="FFCC9900"/>
      <color rgb="FFABD9E7"/>
      <color rgb="FFF4D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E6E0D4-84EA-40FA-85B9-761EF5309EB3}" name="Columnas" displayName="Columnas" ref="A1:G56" totalsRowShown="0">
  <autoFilter ref="A1:G56" xr:uid="{82BBB7BF-ACEB-4941-B18A-9046F9402ACD}">
    <filterColumn colId="3">
      <filters blank="1"/>
    </filterColumn>
  </autoFilter>
  <tableColumns count="7">
    <tableColumn id="1" xr3:uid="{10655109-D383-4124-8B6F-3D82F833A0C2}" name="sql_field" dataDxfId="3">
      <calculatedColumnFormula>"`" &amp; Columnas[[#This Row],[Column]] &amp; "` " &amp; Columnas[[#This Row],[Type]] &amp; " " &amp; Columnas[[#This Row],[NN]] &amp; " " &amp; Columnas[[#This Row],[Default]] &amp; ","</calculatedColumnFormula>
    </tableColumn>
    <tableColumn id="2" xr3:uid="{DD07F29A-7A8B-4BF1-BF5F-8B4C552D5DAF}" name="Table"/>
    <tableColumn id="3" xr3:uid="{A4B22B06-E18E-4FA6-8F67-850C240ED877}" name="Column"/>
    <tableColumn id="7" xr3:uid="{DC812351-3E35-490B-B34A-AF7C8DF71870}" name="remove" dataDxfId="0"/>
    <tableColumn id="4" xr3:uid="{6BDCA2A3-DC10-41B5-84A0-78BA97A1308C}" name="Type"/>
    <tableColumn id="5" xr3:uid="{F40EF93B-13B1-4C29-B0B2-02C0B93B506F}" name="NN"/>
    <tableColumn id="6" xr3:uid="{B4DC15EB-4E35-4DCD-AC0B-679A8397241B}" name="Defa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660225-1F37-48CF-9754-392D636E39DD}" name="FundamentalAnalysis" displayName="FundamentalAnalysis" ref="A2:AM54" totalsRowShown="0">
  <autoFilter ref="A2:AM54" xr:uid="{128B2332-750B-43B5-B5DF-E14C92F75946}"/>
  <tableColumns count="39">
    <tableColumn id="41" xr3:uid="{8D18F44C-C341-4074-A253-D6F058894E0B}" name="sql_update" dataDxfId="22">
      <calculatedColumnFormula array="1">SQLupdate("FundamentalAnalysis", 1, "NULL", FundamentalAnalysis[[#This Row],[Ticker]], FundamentalAnalysis[[#This Row],[CompanyId]])</calculatedColumnFormula>
    </tableColumn>
    <tableColumn id="42" xr3:uid="{5698B34B-E318-4BAD-8D02-9BDD9E209DB8}" name="sql_insert" dataDxfId="21">
      <calculatedColumnFormula array="1">SQLinsert("fundamentalAnalysis", 1, "NULL", FundamentalAnalysis[[#This Row],[Ticker]],FundamentalAnalysis[[#This Row],[CurrentPrice]],FundamentalAnalysis[[#This Row],[LastReportDate]:[TargetPrice]])</calculatedColumnFormula>
    </tableColumn>
    <tableColumn id="38" xr3:uid="{82518A4B-B070-447C-8787-D7CD3A4DB2B1}" name="CompanyId" dataDxfId="20"/>
    <tableColumn id="1" xr3:uid="{312D47DD-0214-43D3-9C56-E60672525072}" name="Ticker"/>
    <tableColumn id="2" xr3:uid="{A904C783-1DB0-4FD3-945D-8D0879BAC755}" name="CompanyName"/>
    <tableColumn id="3" xr3:uid="{C1AAD2BE-2FFD-4316-80BF-9DAEF40D1E56}" name="CurrentPrice"/>
    <tableColumn id="4" xr3:uid="{8890F1C7-962A-4E7E-BC87-92812E806592}" name="Sector" dataDxfId="19"/>
    <tableColumn id="5" xr3:uid="{C8ABDFE0-A338-4F2A-9AF7-3DEBCF3AA2C7}" name="Country" dataDxfId="18"/>
    <tableColumn id="6" xr3:uid="{AE4AC0D7-D5B4-4507-A99D-12897916D832}" name="StockCurrency" dataDxfId="17"/>
    <tableColumn id="7" xr3:uid="{A85A8F73-0299-4125-A64D-D413341ACC94}" name="ReportCurrency" dataDxfId="16"/>
    <tableColumn id="8" xr3:uid="{ADB8A705-111C-4B87-BD43-25B66B45A710}" name="LastReportDate"/>
    <tableColumn id="9" xr3:uid="{0A29134F-F558-4FF2-B752-3D0BE0AFC8F9}" name="CurrentPER"/>
    <tableColumn id="10" xr3:uid="{BB0977D5-3CC9-42BC-8814-C59AB3866F05}" name="MeanPER"/>
    <tableColumn id="11" xr3:uid="{BA5A1EF9-8320-4D07-8244-E4AC6D72AA25}" name="CurrentEVEBITDA"/>
    <tableColumn id="12" xr3:uid="{A037F32F-E5C5-4D8C-BA59-E768F230355D}" name="MeanEVEBITDA"/>
    <tableColumn id="13" xr3:uid="{A400F603-03D3-43FF-A310-7412DAC76A98}" name="CurrentEVEBIT"/>
    <tableColumn id="14" xr3:uid="{887C9241-77EA-47E9-8D22-D00A47FD5065}" name="CurrentPricetoBook"/>
    <tableColumn id="15" xr3:uid="{C6E52788-745C-47DC-9892-D5AAE5025BB5}" name="CurrentPricetoFreeCashFlowRate"/>
    <tableColumn id="16" xr3:uid="{0D00FC4D-E500-4FCE-96E3-96B7AB0A7BD5}" name="MeanPricetoFreeCashFlowRate"/>
    <tableColumn id="17" xr3:uid="{DB7C3DE0-9C48-4AF3-BEDF-51F0E6DC31BD}" name="ROE"/>
    <tableColumn id="18" xr3:uid="{9F580A18-2E77-40F8-BB7F-1F811987C42D}" name="ROCE"/>
    <tableColumn id="19" xr3:uid="{76167D06-F7BA-47EE-8ED6-B61DE3EDAB42}" name="ROA"/>
    <tableColumn id="20" xr3:uid="{84809D20-7EB1-4254-BDE6-59F52E12BEB1}" name="Beta"/>
    <tableColumn id="21" xr3:uid="{39C79C80-EE70-4D51-8B42-5B0311E887B0}" name="LiquidityRatio"/>
    <tableColumn id="22" xr3:uid="{8F5D2D18-5CC0-481D-9B0C-A774B9533EBC}" name="CashOverStockPrice"/>
    <tableColumn id="23" xr3:uid="{502DB1CD-9406-40DA-8F99-44403377A540}" name="DebtQualityRatio"/>
    <tableColumn id="24" xr3:uid="{49F585BC-F3E1-4C80-BBC8-FBB1A003A7DB}" name="LiabilitiestoEquityRatio"/>
    <tableColumn id="25" xr3:uid="{CCC22CCA-EEEA-402E-BCB7-AA5FB6339F45}" name="NetDebttoEBITDA"/>
    <tableColumn id="26" xr3:uid="{19FDA627-928C-4710-895F-CA5E44A3396A}" name="MeanNetDebttoEBITDA"/>
    <tableColumn id="27" xr3:uid="{3FED3615-057F-45FC-AE33-2E91DF08986F}" name="InterestExpensetoEBIT"/>
    <tableColumn id="28" xr3:uid="{54414024-F2AE-4EBA-B4EA-3FA07637B087}" name="EntrepriseValueUSD"/>
    <tableColumn id="29" xr3:uid="{6456D687-35F2-4C10-9863-ABD11AA7BB51}" name="DCFValuewithExitMultiplePotential"/>
    <tableColumn id="30" xr3:uid="{A13081EF-85F6-492D-953D-F8DD6780C7F6}" name="EBITDATendency"/>
    <tableColumn id="31" xr3:uid="{5DC89C15-F557-41DC-A3AF-4DA8A3E8FF29}" name="FreeCashFlowTendency"/>
    <tableColumn id="32" xr3:uid="{D9DA770D-5773-4393-A125-619AA3761293}" name="OperatingCashFlowTendency"/>
    <tableColumn id="33" xr3:uid="{280B9FE1-0ED1-4AA7-B8DA-20C0D800924A}" name="NetIncomeTendency"/>
    <tableColumn id="34" xr3:uid="{F64DB6ED-309F-4BDD-B608-855F838710D0}" name="EquityTendency"/>
    <tableColumn id="35" xr3:uid="{998012A7-86C9-4437-BEE2-EBB43B243670}" name="DividendYield"/>
    <tableColumn id="36" xr3:uid="{CC442314-9BAE-402A-A1F3-24603F5A7A46}" name="TargetPri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F98DF0-F892-4025-9EF9-5966EE883A54}" name="Companies" displayName="Companies" ref="A2:T59" totalsRowShown="0">
  <autoFilter ref="A2:T59" xr:uid="{27C88DFB-E2F2-4734-AA0D-BB222FFA8B5C}"/>
  <tableColumns count="20">
    <tableColumn id="1" xr3:uid="{A7CFDC2B-9D5F-4DAC-B4DB-098D9EC01CA3}" name="sql_update" dataDxfId="15">
      <calculatedColumnFormula array="1">SQLupdate("Variables", 1, "NULL", Companies[[#This Row],[Ticker]], Companies[[#This Row],[CompanyId]],Companies[[#This Row],[CountryId]], Companies[[#This Row],[IndustryId]], Companies[[#This Row],[SectorId]])</calculatedColumnFormula>
    </tableColumn>
    <tableColumn id="20" xr3:uid="{25995440-0AF5-4321-B7BF-549664F74DBB}" name="sql_insert" dataDxfId="14">
      <calculatedColumnFormula array="1">SQLinsert("Companies", 1, "NULL", Companies[[#This Row],[CompanyId]:[CountryId]],Companies[[#This Row],[IndustryId]],Companies[[#This Row],[SectorId]],Companies[[#This Row],[Beta]:[SharesOutstanding]])</calculatedColumnFormula>
    </tableColumn>
    <tableColumn id="2" xr3:uid="{C65589B6-D829-460E-9EDD-082D9AA3520F}" name="CompanyId" dataDxfId="13"/>
    <tableColumn id="3" xr3:uid="{015D35B9-FDE4-42ED-B916-4F174F04EB0C}" name="Ticker"/>
    <tableColumn id="4" xr3:uid="{09F6C032-5C7B-4F36-8DBB-CDAFB2C5D297}" name="CompanyName"/>
    <tableColumn id="5" xr3:uid="{6E22906F-385E-4C56-9E71-76B2B2FC6F9B}" name="StockCurrency"/>
    <tableColumn id="6" xr3:uid="{56D1A6A6-914C-4924-A7C5-BB8DBDA60D2C}" name="ReportCurrency"/>
    <tableColumn id="21" xr3:uid="{79F4DE64-93EB-49BE-8B1C-7CACB1DAEE6A}" name="CountryId" dataDxfId="12"/>
    <tableColumn id="7" xr3:uid="{FFC0B6F8-12CF-4FC2-B0CA-FC4AB1A9EB49}" name="Country" dataDxfId="11"/>
    <tableColumn id="18" xr3:uid="{732562EC-1BE6-4911-841A-AD12896795E5}" name="IndustryId" dataDxfId="10"/>
    <tableColumn id="8" xr3:uid="{B71B7B9A-FD41-42B3-B514-364B1EEF19D3}" name="Industry" dataDxfId="9"/>
    <tableColumn id="19" xr3:uid="{E2B23769-BFFB-41B5-A895-72A5FE53E77A}" name="SectorId" dataDxfId="8"/>
    <tableColumn id="9" xr3:uid="{1A4F2154-4D02-4DA0-BCF1-6AF3CEE358DD}" name="Sector" dataDxfId="7"/>
    <tableColumn id="10" xr3:uid="{695F4AB8-0BF4-4C6B-9B2A-1A2075CDAA5A}" name="Beta"/>
    <tableColumn id="11" xr3:uid="{DD59BE6B-D9E9-4E4C-974F-FA95E5D56963}" name="BalanceSheetDate" dataDxfId="6"/>
    <tableColumn id="12" xr3:uid="{A7F33E79-3C46-406A-9E6E-02BBBC0071E3}" name="LastYearReport"/>
    <tableColumn id="13" xr3:uid="{4DB553A8-6ACC-4E46-AD7E-8978E13E0D42}" name="DividendYield"/>
    <tableColumn id="14" xr3:uid="{EE8351B0-10B2-4806-8EE8-9F12CC8AAD94}" name="PercentInsidersHold"/>
    <tableColumn id="15" xr3:uid="{FBEDA9A0-99F3-40F0-A632-6A2440662141}" name="PercentInstitutionsHold"/>
    <tableColumn id="16" xr3:uid="{386DB18A-D33B-4207-9DE6-974A8C7A1F20}" name="SharesOutstanding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528BC6-2598-484D-9872-C5F0624DE703}" name="Industries" displayName="Industries" ref="A1:C35" totalsRowShown="0">
  <autoFilter ref="A1:C35" xr:uid="{6AA4EEA0-3B66-44CD-8539-7F38E4DA99CD}"/>
  <tableColumns count="3">
    <tableColumn id="1" xr3:uid="{1F25D013-B5FD-40BC-98FA-87DB2EF0966C}" name="IndustryId"/>
    <tableColumn id="2" xr3:uid="{C6D3C416-ADFC-4CC9-8626-B07E180C9141}" name="Industry"/>
    <tableColumn id="5" xr3:uid="{5D2CDD89-CE0B-4545-B26D-C946E76A8380}" name="Sector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04B41C-7C6D-4013-92E2-DCABFF4C47D8}" name="Sectors" displayName="Sectors" ref="E1:F12" totalsRowShown="0">
  <autoFilter ref="E1:F12" xr:uid="{691697CF-3716-4D28-B4F0-61957A791B44}"/>
  <tableColumns count="2">
    <tableColumn id="1" xr3:uid="{59986593-81FB-4AEB-9976-68AF3E87CDDA}" name="Sector"/>
    <tableColumn id="2" xr3:uid="{561F7576-29FD-4C24-AFFB-1B922FE2E7CD}" name="SectorI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8C0AAA-85A7-4CF0-A109-BCEF62E6AF0C}" name="Countries" displayName="Countries" ref="A1:B14" totalsRowShown="0">
  <autoFilter ref="A1:B14" xr:uid="{C005BBD0-A636-4537-8A88-C8A200A5FB5E}"/>
  <tableColumns count="2">
    <tableColumn id="1" xr3:uid="{4975409B-0201-466E-A136-6212635E3272}" name="Country"/>
    <tableColumn id="2" xr3:uid="{3E017BB5-E999-40C2-A0C0-F72274C69AD3}" name="CountryId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DAA0-D3FA-4CD4-BDA9-48104A3218B2}">
  <sheetPr codeName="Hoja25"/>
  <dimension ref="A1:F36"/>
  <sheetViews>
    <sheetView workbookViewId="0">
      <selection activeCell="H5" sqref="H5"/>
    </sheetView>
  </sheetViews>
  <sheetFormatPr baseColWidth="10" defaultRowHeight="15" x14ac:dyDescent="0.25"/>
  <cols>
    <col min="1" max="1" width="33.28515625" style="1" bestFit="1" customWidth="1"/>
    <col min="2" max="2" width="11.42578125" style="1"/>
    <col min="3" max="3" width="36" style="1" bestFit="1" customWidth="1"/>
    <col min="4" max="4" width="11.42578125" style="1"/>
    <col min="5" max="5" width="30.85546875" style="1" bestFit="1" customWidth="1"/>
    <col min="6" max="6" width="24.42578125" style="1" bestFit="1" customWidth="1"/>
    <col min="7" max="16384" width="11.42578125" style="1"/>
  </cols>
  <sheetData>
    <row r="1" spans="1:6" x14ac:dyDescent="0.25">
      <c r="A1" s="3" t="s">
        <v>200</v>
      </c>
      <c r="C1" s="1" t="s">
        <v>244</v>
      </c>
      <c r="E1" s="1" t="s">
        <v>200</v>
      </c>
      <c r="F1" s="1" t="s">
        <v>236</v>
      </c>
    </row>
    <row r="2" spans="1:6" x14ac:dyDescent="0.25">
      <c r="A2" s="2" t="s">
        <v>199</v>
      </c>
      <c r="C2" s="1" t="s">
        <v>243</v>
      </c>
      <c r="D2" s="1" t="s">
        <v>240</v>
      </c>
      <c r="E2" s="1" t="s">
        <v>199</v>
      </c>
      <c r="F2" s="1" t="s">
        <v>239</v>
      </c>
    </row>
    <row r="3" spans="1:6" x14ac:dyDescent="0.25">
      <c r="A3" s="2" t="s">
        <v>198</v>
      </c>
      <c r="C3" s="1" t="s">
        <v>242</v>
      </c>
      <c r="E3" s="1" t="s">
        <v>198</v>
      </c>
      <c r="F3" s="1" t="s">
        <v>201</v>
      </c>
    </row>
    <row r="4" spans="1:6" x14ac:dyDescent="0.25">
      <c r="A4" s="2" t="s">
        <v>197</v>
      </c>
      <c r="C4" s="1" t="s">
        <v>241</v>
      </c>
      <c r="D4" s="1" t="s">
        <v>240</v>
      </c>
      <c r="E4" s="1" t="s">
        <v>197</v>
      </c>
      <c r="F4" s="1" t="s">
        <v>239</v>
      </c>
    </row>
    <row r="5" spans="1:6" x14ac:dyDescent="0.25">
      <c r="A5" s="2" t="s">
        <v>196</v>
      </c>
      <c r="C5" s="1" t="s">
        <v>238</v>
      </c>
      <c r="E5" s="1" t="s">
        <v>237</v>
      </c>
      <c r="F5" s="1" t="s">
        <v>236</v>
      </c>
    </row>
    <row r="6" spans="1:6" x14ac:dyDescent="0.25">
      <c r="A6" s="2" t="s">
        <v>195</v>
      </c>
      <c r="C6" s="1" t="s">
        <v>235</v>
      </c>
      <c r="E6" s="1" t="s">
        <v>192</v>
      </c>
      <c r="F6" s="1" t="s">
        <v>201</v>
      </c>
    </row>
    <row r="7" spans="1:6" x14ac:dyDescent="0.25">
      <c r="A7" s="2" t="s">
        <v>194</v>
      </c>
      <c r="C7" s="1" t="s">
        <v>234</v>
      </c>
      <c r="E7" s="1" t="s">
        <v>191</v>
      </c>
      <c r="F7" s="1" t="s">
        <v>201</v>
      </c>
    </row>
    <row r="8" spans="1:6" x14ac:dyDescent="0.25">
      <c r="A8" s="2" t="s">
        <v>193</v>
      </c>
      <c r="C8" s="1" t="s">
        <v>233</v>
      </c>
      <c r="E8" s="1" t="s">
        <v>190</v>
      </c>
      <c r="F8" s="1" t="s">
        <v>201</v>
      </c>
    </row>
    <row r="9" spans="1:6" x14ac:dyDescent="0.25">
      <c r="A9" s="2" t="s">
        <v>192</v>
      </c>
      <c r="C9" s="1" t="s">
        <v>232</v>
      </c>
      <c r="E9" s="1" t="s">
        <v>189</v>
      </c>
      <c r="F9" s="1" t="s">
        <v>201</v>
      </c>
    </row>
    <row r="10" spans="1:6" x14ac:dyDescent="0.25">
      <c r="A10" s="2" t="s">
        <v>191</v>
      </c>
      <c r="C10" s="1" t="s">
        <v>231</v>
      </c>
      <c r="E10" s="1" t="s">
        <v>188</v>
      </c>
      <c r="F10" s="1" t="s">
        <v>201</v>
      </c>
    </row>
    <row r="11" spans="1:6" x14ac:dyDescent="0.25">
      <c r="A11" s="2" t="s">
        <v>190</v>
      </c>
      <c r="C11" s="1" t="s">
        <v>230</v>
      </c>
      <c r="E11" s="1" t="s">
        <v>187</v>
      </c>
      <c r="F11" s="1" t="s">
        <v>201</v>
      </c>
    </row>
    <row r="12" spans="1:6" x14ac:dyDescent="0.25">
      <c r="A12" s="2" t="s">
        <v>189</v>
      </c>
      <c r="C12" s="1" t="s">
        <v>229</v>
      </c>
      <c r="E12" s="1" t="s">
        <v>186</v>
      </c>
      <c r="F12" s="1" t="s">
        <v>228</v>
      </c>
    </row>
    <row r="13" spans="1:6" x14ac:dyDescent="0.25">
      <c r="A13" s="2" t="s">
        <v>188</v>
      </c>
      <c r="C13" s="1" t="s">
        <v>227</v>
      </c>
      <c r="E13" s="1" t="s">
        <v>185</v>
      </c>
      <c r="F13" s="1" t="s">
        <v>226</v>
      </c>
    </row>
    <row r="14" spans="1:6" x14ac:dyDescent="0.25">
      <c r="A14" s="2" t="s">
        <v>187</v>
      </c>
      <c r="C14" s="1" t="s">
        <v>225</v>
      </c>
      <c r="E14" s="1" t="s">
        <v>167</v>
      </c>
      <c r="F14" s="1" t="s">
        <v>201</v>
      </c>
    </row>
    <row r="15" spans="1:6" x14ac:dyDescent="0.25">
      <c r="A15" s="2" t="s">
        <v>186</v>
      </c>
      <c r="C15" s="1" t="s">
        <v>224</v>
      </c>
      <c r="E15" s="1" t="s">
        <v>223</v>
      </c>
      <c r="F15" s="1" t="s">
        <v>201</v>
      </c>
    </row>
    <row r="16" spans="1:6" x14ac:dyDescent="0.25">
      <c r="A16" s="2" t="s">
        <v>185</v>
      </c>
      <c r="C16" s="1" t="s">
        <v>222</v>
      </c>
      <c r="E16" s="1" t="s">
        <v>184</v>
      </c>
      <c r="F16" s="1" t="s">
        <v>201</v>
      </c>
    </row>
    <row r="17" spans="1:6" x14ac:dyDescent="0.25">
      <c r="A17" s="2" t="s">
        <v>184</v>
      </c>
      <c r="C17" s="1" t="s">
        <v>221</v>
      </c>
      <c r="E17" s="1" t="s">
        <v>183</v>
      </c>
      <c r="F17" s="1" t="s">
        <v>201</v>
      </c>
    </row>
    <row r="18" spans="1:6" x14ac:dyDescent="0.25">
      <c r="A18" s="2" t="s">
        <v>183</v>
      </c>
      <c r="C18" s="1" t="s">
        <v>220</v>
      </c>
      <c r="E18" s="1" t="s">
        <v>4</v>
      </c>
      <c r="F18" s="1" t="s">
        <v>201</v>
      </c>
    </row>
    <row r="19" spans="1:6" x14ac:dyDescent="0.25">
      <c r="A19" s="2" t="s">
        <v>4</v>
      </c>
      <c r="C19" s="1" t="s">
        <v>219</v>
      </c>
      <c r="E19" s="1" t="s">
        <v>182</v>
      </c>
      <c r="F19" s="1" t="s">
        <v>201</v>
      </c>
    </row>
    <row r="20" spans="1:6" x14ac:dyDescent="0.25">
      <c r="A20" s="2" t="s">
        <v>182</v>
      </c>
      <c r="C20" s="1" t="s">
        <v>218</v>
      </c>
      <c r="E20" s="1" t="s">
        <v>181</v>
      </c>
      <c r="F20" s="1" t="s">
        <v>201</v>
      </c>
    </row>
    <row r="21" spans="1:6" x14ac:dyDescent="0.25">
      <c r="A21" s="2" t="s">
        <v>181</v>
      </c>
      <c r="C21" s="1" t="s">
        <v>217</v>
      </c>
      <c r="E21" s="1" t="s">
        <v>216</v>
      </c>
      <c r="F21" s="1" t="s">
        <v>201</v>
      </c>
    </row>
    <row r="22" spans="1:6" x14ac:dyDescent="0.25">
      <c r="A22" s="2" t="s">
        <v>180</v>
      </c>
      <c r="C22" s="1" t="s">
        <v>215</v>
      </c>
      <c r="E22" s="1" t="s">
        <v>179</v>
      </c>
      <c r="F22" s="1" t="s">
        <v>201</v>
      </c>
    </row>
    <row r="23" spans="1:6" x14ac:dyDescent="0.25">
      <c r="A23" s="2" t="s">
        <v>179</v>
      </c>
      <c r="C23" s="1" t="s">
        <v>214</v>
      </c>
      <c r="E23" s="1" t="s">
        <v>178</v>
      </c>
      <c r="F23" s="1" t="s">
        <v>201</v>
      </c>
    </row>
    <row r="24" spans="1:6" x14ac:dyDescent="0.25">
      <c r="A24" s="2" t="s">
        <v>178</v>
      </c>
      <c r="C24" s="1" t="s">
        <v>213</v>
      </c>
      <c r="E24" s="1" t="s">
        <v>177</v>
      </c>
      <c r="F24" s="1" t="s">
        <v>201</v>
      </c>
    </row>
    <row r="25" spans="1:6" x14ac:dyDescent="0.25">
      <c r="A25" s="2" t="s">
        <v>177</v>
      </c>
      <c r="C25" s="1" t="s">
        <v>212</v>
      </c>
      <c r="E25" s="1" t="s">
        <v>176</v>
      </c>
      <c r="F25" s="1" t="s">
        <v>201</v>
      </c>
    </row>
    <row r="26" spans="1:6" x14ac:dyDescent="0.25">
      <c r="A26" s="2" t="s">
        <v>176</v>
      </c>
      <c r="C26" s="1" t="s">
        <v>211</v>
      </c>
      <c r="E26" s="1" t="s">
        <v>175</v>
      </c>
      <c r="F26" s="1" t="s">
        <v>201</v>
      </c>
    </row>
    <row r="27" spans="1:6" x14ac:dyDescent="0.25">
      <c r="A27" s="2" t="s">
        <v>175</v>
      </c>
      <c r="C27" s="1" t="s">
        <v>210</v>
      </c>
      <c r="E27" s="1" t="s">
        <v>174</v>
      </c>
      <c r="F27" s="1" t="s">
        <v>201</v>
      </c>
    </row>
    <row r="28" spans="1:6" x14ac:dyDescent="0.25">
      <c r="A28" s="2" t="s">
        <v>174</v>
      </c>
      <c r="C28" s="1" t="s">
        <v>209</v>
      </c>
      <c r="E28" s="1" t="s">
        <v>208</v>
      </c>
      <c r="F28" s="1" t="s">
        <v>201</v>
      </c>
    </row>
    <row r="29" spans="1:6" x14ac:dyDescent="0.25">
      <c r="A29" s="2" t="s">
        <v>173</v>
      </c>
      <c r="C29" s="1" t="s">
        <v>207</v>
      </c>
      <c r="E29" s="1" t="s">
        <v>172</v>
      </c>
      <c r="F29" s="1" t="s">
        <v>201</v>
      </c>
    </row>
    <row r="30" spans="1:6" x14ac:dyDescent="0.25">
      <c r="A30" s="2" t="s">
        <v>172</v>
      </c>
      <c r="C30" s="1" t="s">
        <v>206</v>
      </c>
      <c r="E30" s="1" t="s">
        <v>171</v>
      </c>
      <c r="F30" s="1" t="s">
        <v>201</v>
      </c>
    </row>
    <row r="31" spans="1:6" x14ac:dyDescent="0.25">
      <c r="A31" s="2" t="s">
        <v>171</v>
      </c>
      <c r="C31" s="1" t="s">
        <v>205</v>
      </c>
      <c r="E31" s="1" t="s">
        <v>170</v>
      </c>
      <c r="F31" s="1" t="s">
        <v>204</v>
      </c>
    </row>
    <row r="32" spans="1:6" x14ac:dyDescent="0.25">
      <c r="A32" s="2" t="s">
        <v>170</v>
      </c>
      <c r="C32" s="1" t="s">
        <v>203</v>
      </c>
      <c r="E32" s="1" t="s">
        <v>169</v>
      </c>
      <c r="F32" s="1" t="s">
        <v>201</v>
      </c>
    </row>
    <row r="33" spans="1:6" x14ac:dyDescent="0.25">
      <c r="A33" s="2" t="s">
        <v>169</v>
      </c>
      <c r="C33" s="1" t="s">
        <v>202</v>
      </c>
      <c r="E33" s="1" t="s">
        <v>168</v>
      </c>
      <c r="F33" s="1" t="s">
        <v>201</v>
      </c>
    </row>
    <row r="34" spans="1:6" x14ac:dyDescent="0.25">
      <c r="A34" s="2" t="s">
        <v>168</v>
      </c>
    </row>
    <row r="35" spans="1:6" x14ac:dyDescent="0.25">
      <c r="A35" s="2" t="s">
        <v>167</v>
      </c>
    </row>
    <row r="36" spans="1:6" x14ac:dyDescent="0.25">
      <c r="A36" s="2" t="s">
        <v>166</v>
      </c>
    </row>
  </sheetData>
  <conditionalFormatting sqref="A1:A36 E1:E33">
    <cfRule type="duplicateValues" dxfId="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AB73B-AED9-47DC-BF94-CBB1F07C736F}">
  <dimension ref="A1:J56"/>
  <sheetViews>
    <sheetView tabSelected="1" workbookViewId="0">
      <pane ySplit="1" topLeftCell="A2" activePane="bottomLeft" state="frozen"/>
      <selection pane="bottomLeft" activeCell="A11" sqref="A11"/>
    </sheetView>
  </sheetViews>
  <sheetFormatPr baseColWidth="10" defaultColWidth="0" defaultRowHeight="15" x14ac:dyDescent="0.25"/>
  <cols>
    <col min="1" max="1" width="55.7109375" style="1" bestFit="1" customWidth="1"/>
    <col min="2" max="2" width="20.140625" style="1" bestFit="1" customWidth="1"/>
    <col min="3" max="3" width="33.140625" bestFit="1" customWidth="1"/>
    <col min="4" max="4" width="10.140625" style="1" bestFit="1" customWidth="1"/>
    <col min="5" max="5" width="14" bestFit="1" customWidth="1"/>
    <col min="6" max="6" width="11.42578125" customWidth="1"/>
    <col min="7" max="7" width="13.5703125" bestFit="1" customWidth="1"/>
    <col min="8" max="10" width="11.42578125" customWidth="1"/>
    <col min="11" max="16384" width="11.42578125" hidden="1"/>
  </cols>
  <sheetData>
    <row r="1" spans="1:7" s="1" customFormat="1" x14ac:dyDescent="0.25">
      <c r="A1" s="1" t="s">
        <v>414</v>
      </c>
      <c r="B1" s="1" t="s">
        <v>399</v>
      </c>
      <c r="C1" s="1" t="s">
        <v>401</v>
      </c>
      <c r="D1" s="1" t="s">
        <v>415</v>
      </c>
      <c r="E1" s="1" t="s">
        <v>398</v>
      </c>
      <c r="F1" s="1" t="s">
        <v>409</v>
      </c>
      <c r="G1" s="1" t="s">
        <v>410</v>
      </c>
    </row>
    <row r="2" spans="1:7" x14ac:dyDescent="0.25">
      <c r="A2" s="1" t="str">
        <f>"`" &amp; Columnas[[#This Row],[Column]] &amp; "` " &amp; Columnas[[#This Row],[Type]] &amp; " " &amp; Columnas[[#This Row],[NN]] &amp; " " &amp; Columnas[[#This Row],[Default]] &amp; ","</f>
        <v>`CompanyId` VARCHAR(32) NOT NULL ,</v>
      </c>
      <c r="B2" s="1" t="s">
        <v>400</v>
      </c>
      <c r="C2" s="8" t="s">
        <v>245</v>
      </c>
      <c r="D2" s="16"/>
      <c r="E2" s="1" t="s">
        <v>405</v>
      </c>
      <c r="F2" t="s">
        <v>411</v>
      </c>
    </row>
    <row r="3" spans="1:7" x14ac:dyDescent="0.25">
      <c r="A3" s="1" t="str">
        <f>"`" &amp; Columnas[[#This Row],[Column]] &amp; "` " &amp; Columnas[[#This Row],[Type]] &amp; " " &amp; Columnas[[#This Row],[NN]] &amp; " " &amp; Columnas[[#This Row],[Default]] &amp; ","</f>
        <v>`Ticker` VARCHAR(16) NOT NULL ,</v>
      </c>
      <c r="B3" s="1" t="s">
        <v>400</v>
      </c>
      <c r="C3" s="1" t="s">
        <v>200</v>
      </c>
      <c r="D3" s="17"/>
      <c r="E3" s="1" t="s">
        <v>403</v>
      </c>
      <c r="F3" s="1" t="s">
        <v>411</v>
      </c>
    </row>
    <row r="4" spans="1:7" hidden="1" x14ac:dyDescent="0.25">
      <c r="A4" s="1" t="str">
        <f>"`" &amp; Columnas[[#This Row],[Column]] &amp; "` " &amp; Columnas[[#This Row],[Type]] &amp; " " &amp; Columnas[[#This Row],[NN]] &amp; " " &amp; Columnas[[#This Row],[Default]] &amp; ","</f>
        <v>`CompanyName`   ,</v>
      </c>
      <c r="B4" s="1" t="s">
        <v>400</v>
      </c>
      <c r="C4" s="11" t="s">
        <v>199</v>
      </c>
      <c r="D4" s="18" t="s">
        <v>416</v>
      </c>
      <c r="E4" s="1"/>
    </row>
    <row r="5" spans="1:7" x14ac:dyDescent="0.25">
      <c r="A5" s="1" t="str">
        <f>"`" &amp; Columnas[[#This Row],[Column]] &amp; "` " &amp; Columnas[[#This Row],[Type]] &amp; " " &amp; Columnas[[#This Row],[NN]] &amp; " " &amp; Columnas[[#This Row],[Default]] &amp; ","</f>
        <v>`CurrentPrice` DOUBLE  DEFAULT NULL,</v>
      </c>
      <c r="B5" s="1" t="s">
        <v>400</v>
      </c>
      <c r="C5" s="1" t="s">
        <v>198</v>
      </c>
      <c r="D5" s="17"/>
      <c r="E5" s="1" t="s">
        <v>404</v>
      </c>
      <c r="G5" s="1" t="s">
        <v>412</v>
      </c>
    </row>
    <row r="6" spans="1:7" hidden="1" x14ac:dyDescent="0.25">
      <c r="A6" s="1" t="str">
        <f>"`" &amp; Columnas[[#This Row],[Column]] &amp; "` " &amp; Columnas[[#This Row],[Type]] &amp; " " &amp; Columnas[[#This Row],[NN]] &amp; " " &amp; Columnas[[#This Row],[Default]] &amp; ","</f>
        <v>`Sector`   ,</v>
      </c>
      <c r="B6" s="1" t="s">
        <v>400</v>
      </c>
      <c r="C6" s="11" t="s">
        <v>197</v>
      </c>
      <c r="D6" s="18" t="s">
        <v>416</v>
      </c>
      <c r="E6" s="1"/>
    </row>
    <row r="7" spans="1:7" hidden="1" x14ac:dyDescent="0.25">
      <c r="A7" s="1" t="str">
        <f>"`" &amp; Columnas[[#This Row],[Column]] &amp; "` " &amp; Columnas[[#This Row],[Type]] &amp; " " &amp; Columnas[[#This Row],[NN]] &amp; " " &amp; Columnas[[#This Row],[Default]] &amp; ","</f>
        <v>`Country`   ,</v>
      </c>
      <c r="B7" s="1" t="s">
        <v>400</v>
      </c>
      <c r="C7" s="11" t="s">
        <v>196</v>
      </c>
      <c r="D7" s="18" t="s">
        <v>416</v>
      </c>
      <c r="E7" s="1"/>
    </row>
    <row r="8" spans="1:7" hidden="1" x14ac:dyDescent="0.25">
      <c r="A8" s="1" t="str">
        <f>"`" &amp; Columnas[[#This Row],[Column]] &amp; "` " &amp; Columnas[[#This Row],[Type]] &amp; " " &amp; Columnas[[#This Row],[NN]] &amp; " " &amp; Columnas[[#This Row],[Default]] &amp; ","</f>
        <v>`StockCurrency`   ,</v>
      </c>
      <c r="B8" s="1" t="s">
        <v>400</v>
      </c>
      <c r="C8" s="11" t="s">
        <v>195</v>
      </c>
      <c r="D8" s="18" t="s">
        <v>416</v>
      </c>
      <c r="E8" s="1"/>
    </row>
    <row r="9" spans="1:7" hidden="1" x14ac:dyDescent="0.25">
      <c r="A9" s="1" t="str">
        <f>"`" &amp; Columnas[[#This Row],[Column]] &amp; "` " &amp; Columnas[[#This Row],[Type]] &amp; " " &amp; Columnas[[#This Row],[NN]] &amp; " " &amp; Columnas[[#This Row],[Default]] &amp; ","</f>
        <v>`ReportCurrency`   ,</v>
      </c>
      <c r="B9" s="1" t="s">
        <v>400</v>
      </c>
      <c r="C9" s="11" t="s">
        <v>194</v>
      </c>
      <c r="D9" s="18" t="s">
        <v>416</v>
      </c>
      <c r="E9" s="1"/>
    </row>
    <row r="10" spans="1:7" x14ac:dyDescent="0.25">
      <c r="A10" s="1" t="str">
        <f>"`" &amp; Columnas[[#This Row],[Column]] &amp; "` " &amp; Columnas[[#This Row],[Type]] &amp; " " &amp; Columnas[[#This Row],[NN]] &amp; " " &amp; Columnas[[#This Row],[Default]] &amp; ","</f>
        <v>`LastReportDate` DATE  DEFAULT NULL,</v>
      </c>
      <c r="B10" s="1" t="s">
        <v>400</v>
      </c>
      <c r="C10" s="1" t="s">
        <v>193</v>
      </c>
      <c r="D10" s="17"/>
      <c r="E10" s="1" t="s">
        <v>397</v>
      </c>
      <c r="G10" s="1" t="s">
        <v>412</v>
      </c>
    </row>
    <row r="11" spans="1:7" x14ac:dyDescent="0.25">
      <c r="A11" s="1" t="str">
        <f>"`" &amp; Columnas[[#This Row],[Column]] &amp; "` " &amp; Columnas[[#This Row],[Type]] &amp; " " &amp; Columnas[[#This Row],[NN]] &amp; " " &amp; Columnas[[#This Row],[Default]] &amp; ","</f>
        <v>`CurrentPER` DOUBLE  DEFAULT NULL,</v>
      </c>
      <c r="B11" s="1" t="s">
        <v>400</v>
      </c>
      <c r="C11" s="1" t="s">
        <v>192</v>
      </c>
      <c r="D11" s="17"/>
      <c r="E11" s="1" t="s">
        <v>404</v>
      </c>
      <c r="G11" s="1" t="s">
        <v>412</v>
      </c>
    </row>
    <row r="12" spans="1:7" x14ac:dyDescent="0.25">
      <c r="A12" s="1" t="str">
        <f>"`" &amp; Columnas[[#This Row],[Column]] &amp; "` " &amp; Columnas[[#This Row],[Type]] &amp; " " &amp; Columnas[[#This Row],[NN]] &amp; " " &amp; Columnas[[#This Row],[Default]] &amp; ","</f>
        <v>`MeanPER` DOUBLE  DEFAULT NULL,</v>
      </c>
      <c r="B12" s="1" t="s">
        <v>400</v>
      </c>
      <c r="C12" s="1" t="s">
        <v>191</v>
      </c>
      <c r="D12" s="17"/>
      <c r="E12" s="1" t="s">
        <v>404</v>
      </c>
      <c r="G12" s="1" t="s">
        <v>412</v>
      </c>
    </row>
    <row r="13" spans="1:7" x14ac:dyDescent="0.25">
      <c r="A13" s="1" t="str">
        <f>"`" &amp; Columnas[[#This Row],[Column]] &amp; "` " &amp; Columnas[[#This Row],[Type]] &amp; " " &amp; Columnas[[#This Row],[NN]] &amp; " " &amp; Columnas[[#This Row],[Default]] &amp; ","</f>
        <v>`CurrentEVEBITDA` DOUBLE  DEFAULT NULL,</v>
      </c>
      <c r="B13" s="1" t="s">
        <v>400</v>
      </c>
      <c r="C13" s="1" t="s">
        <v>190</v>
      </c>
      <c r="D13" s="17"/>
      <c r="E13" s="1" t="s">
        <v>404</v>
      </c>
      <c r="G13" s="1" t="s">
        <v>412</v>
      </c>
    </row>
    <row r="14" spans="1:7" x14ac:dyDescent="0.25">
      <c r="A14" s="1" t="str">
        <f>"`" &amp; Columnas[[#This Row],[Column]] &amp; "` " &amp; Columnas[[#This Row],[Type]] &amp; " " &amp; Columnas[[#This Row],[NN]] &amp; " " &amp; Columnas[[#This Row],[Default]] &amp; ","</f>
        <v>`MeanEVEBITDA` DOUBLE  DEFAULT NULL,</v>
      </c>
      <c r="B14" s="1" t="s">
        <v>400</v>
      </c>
      <c r="C14" s="1" t="s">
        <v>189</v>
      </c>
      <c r="D14" s="17"/>
      <c r="E14" s="1" t="s">
        <v>404</v>
      </c>
      <c r="G14" s="1" t="s">
        <v>412</v>
      </c>
    </row>
    <row r="15" spans="1:7" x14ac:dyDescent="0.25">
      <c r="A15" s="1" t="str">
        <f>"`" &amp; Columnas[[#This Row],[Column]] &amp; "` " &amp; Columnas[[#This Row],[Type]] &amp; " " &amp; Columnas[[#This Row],[NN]] &amp; " " &amp; Columnas[[#This Row],[Default]] &amp; ","</f>
        <v>`CurrentEVEBIT` DOUBLE  DEFAULT NULL,</v>
      </c>
      <c r="B15" s="1" t="s">
        <v>400</v>
      </c>
      <c r="C15" s="1" t="s">
        <v>188</v>
      </c>
      <c r="D15" s="17"/>
      <c r="E15" s="1" t="s">
        <v>404</v>
      </c>
      <c r="G15" s="1" t="s">
        <v>412</v>
      </c>
    </row>
    <row r="16" spans="1:7" x14ac:dyDescent="0.25">
      <c r="A16" s="1" t="str">
        <f>"`" &amp; Columnas[[#This Row],[Column]] &amp; "` " &amp; Columnas[[#This Row],[Type]] &amp; " " &amp; Columnas[[#This Row],[NN]] &amp; " " &amp; Columnas[[#This Row],[Default]] &amp; ","</f>
        <v>`CurrentPricetoBook` DOUBLE  DEFAULT NULL,</v>
      </c>
      <c r="B16" s="1" t="s">
        <v>400</v>
      </c>
      <c r="C16" s="1" t="s">
        <v>187</v>
      </c>
      <c r="D16" s="17"/>
      <c r="E16" s="1" t="s">
        <v>404</v>
      </c>
      <c r="G16" s="1" t="s">
        <v>412</v>
      </c>
    </row>
    <row r="17" spans="1:7" x14ac:dyDescent="0.25">
      <c r="A17" s="1" t="str">
        <f>"`" &amp; Columnas[[#This Row],[Column]] &amp; "` " &amp; Columnas[[#This Row],[Type]] &amp; " " &amp; Columnas[[#This Row],[NN]] &amp; " " &amp; Columnas[[#This Row],[Default]] &amp; ","</f>
        <v>`CurrentPricetoFreeCashFlowRate` DOUBLE  DEFAULT NULL,</v>
      </c>
      <c r="B17" s="1" t="s">
        <v>400</v>
      </c>
      <c r="C17" s="1" t="s">
        <v>186</v>
      </c>
      <c r="D17" s="17"/>
      <c r="E17" s="1" t="s">
        <v>404</v>
      </c>
      <c r="G17" s="1" t="s">
        <v>412</v>
      </c>
    </row>
    <row r="18" spans="1:7" x14ac:dyDescent="0.25">
      <c r="A18" s="1" t="str">
        <f>"`" &amp; Columnas[[#This Row],[Column]] &amp; "` " &amp; Columnas[[#This Row],[Type]] &amp; " " &amp; Columnas[[#This Row],[NN]] &amp; " " &amp; Columnas[[#This Row],[Default]] &amp; ","</f>
        <v>`MeanPricetoFreeCashFlowRate` DOUBLE  DEFAULT NULL,</v>
      </c>
      <c r="B18" s="1" t="s">
        <v>400</v>
      </c>
      <c r="C18" s="1" t="s">
        <v>185</v>
      </c>
      <c r="D18" s="17"/>
      <c r="E18" s="1" t="s">
        <v>404</v>
      </c>
      <c r="G18" s="1" t="s">
        <v>412</v>
      </c>
    </row>
    <row r="19" spans="1:7" x14ac:dyDescent="0.25">
      <c r="A19" s="1" t="str">
        <f>"`" &amp; Columnas[[#This Row],[Column]] &amp; "` " &amp; Columnas[[#This Row],[Type]] &amp; " " &amp; Columnas[[#This Row],[NN]] &amp; " " &amp; Columnas[[#This Row],[Default]] &amp; ","</f>
        <v>`ROE` DOUBLE  DEFAULT NULL,</v>
      </c>
      <c r="B19" s="1" t="s">
        <v>400</v>
      </c>
      <c r="C19" s="1" t="s">
        <v>184</v>
      </c>
      <c r="D19" s="17"/>
      <c r="E19" s="1" t="s">
        <v>404</v>
      </c>
      <c r="G19" s="1" t="s">
        <v>412</v>
      </c>
    </row>
    <row r="20" spans="1:7" x14ac:dyDescent="0.25">
      <c r="A20" s="1" t="str">
        <f>"`" &amp; Columnas[[#This Row],[Column]] &amp; "` " &amp; Columnas[[#This Row],[Type]] &amp; " " &amp; Columnas[[#This Row],[NN]] &amp; " " &amp; Columnas[[#This Row],[Default]] &amp; ","</f>
        <v>`ROCE` DOUBLE  DEFAULT NULL,</v>
      </c>
      <c r="B20" s="1" t="s">
        <v>400</v>
      </c>
      <c r="C20" s="1" t="s">
        <v>183</v>
      </c>
      <c r="D20" s="17"/>
      <c r="E20" s="1" t="s">
        <v>404</v>
      </c>
      <c r="G20" s="1" t="s">
        <v>412</v>
      </c>
    </row>
    <row r="21" spans="1:7" x14ac:dyDescent="0.25">
      <c r="A21" s="1" t="str">
        <f>"`" &amp; Columnas[[#This Row],[Column]] &amp; "` " &amp; Columnas[[#This Row],[Type]] &amp; " " &amp; Columnas[[#This Row],[NN]] &amp; " " &amp; Columnas[[#This Row],[Default]] &amp; ","</f>
        <v>`ROA` DOUBLE  DEFAULT NULL,</v>
      </c>
      <c r="B21" s="1" t="s">
        <v>400</v>
      </c>
      <c r="C21" s="1" t="s">
        <v>4</v>
      </c>
      <c r="D21" s="17"/>
      <c r="E21" s="1" t="s">
        <v>404</v>
      </c>
      <c r="G21" s="1" t="s">
        <v>412</v>
      </c>
    </row>
    <row r="22" spans="1:7" x14ac:dyDescent="0.25">
      <c r="A22" s="1" t="str">
        <f>"`" &amp; Columnas[[#This Row],[Column]] &amp; "` " &amp; Columnas[[#This Row],[Type]] &amp; " " &amp; Columnas[[#This Row],[NN]] &amp; " " &amp; Columnas[[#This Row],[Default]] &amp; ","</f>
        <v>`Beta` DOUBLE  DEFAULT NULL,</v>
      </c>
      <c r="B22" s="1" t="s">
        <v>400</v>
      </c>
      <c r="C22" s="1" t="s">
        <v>182</v>
      </c>
      <c r="D22" s="17"/>
      <c r="E22" s="1" t="s">
        <v>404</v>
      </c>
      <c r="G22" s="1" t="s">
        <v>412</v>
      </c>
    </row>
    <row r="23" spans="1:7" x14ac:dyDescent="0.25">
      <c r="A23" s="1" t="str">
        <f>"`" &amp; Columnas[[#This Row],[Column]] &amp; "` " &amp; Columnas[[#This Row],[Type]] &amp; " " &amp; Columnas[[#This Row],[NN]] &amp; " " &amp; Columnas[[#This Row],[Default]] &amp; ","</f>
        <v>`LiquidityRatio` DOUBLE  DEFAULT NULL,</v>
      </c>
      <c r="B23" s="1" t="s">
        <v>400</v>
      </c>
      <c r="C23" s="1" t="s">
        <v>181</v>
      </c>
      <c r="D23" s="17"/>
      <c r="E23" s="1" t="s">
        <v>404</v>
      </c>
      <c r="G23" s="1" t="s">
        <v>412</v>
      </c>
    </row>
    <row r="24" spans="1:7" x14ac:dyDescent="0.25">
      <c r="A24" s="1" t="str">
        <f>"`" &amp; Columnas[[#This Row],[Column]] &amp; "` " &amp; Columnas[[#This Row],[Type]] &amp; " " &amp; Columnas[[#This Row],[NN]] &amp; " " &amp; Columnas[[#This Row],[Default]] &amp; ","</f>
        <v>`CashOverStockPrice` DOUBLE  DEFAULT NULL,</v>
      </c>
      <c r="B24" s="1" t="s">
        <v>400</v>
      </c>
      <c r="C24" s="1" t="s">
        <v>180</v>
      </c>
      <c r="D24" s="17"/>
      <c r="E24" s="1" t="s">
        <v>404</v>
      </c>
      <c r="G24" s="1" t="s">
        <v>412</v>
      </c>
    </row>
    <row r="25" spans="1:7" x14ac:dyDescent="0.25">
      <c r="A25" s="1" t="str">
        <f>"`" &amp; Columnas[[#This Row],[Column]] &amp; "` " &amp; Columnas[[#This Row],[Type]] &amp; " " &amp; Columnas[[#This Row],[NN]] &amp; " " &amp; Columnas[[#This Row],[Default]] &amp; ","</f>
        <v>`DebtQualityRatio` DOUBLE  DEFAULT NULL,</v>
      </c>
      <c r="B25" s="1" t="s">
        <v>400</v>
      </c>
      <c r="C25" s="1" t="s">
        <v>179</v>
      </c>
      <c r="D25" s="17"/>
      <c r="E25" s="1" t="s">
        <v>404</v>
      </c>
      <c r="G25" s="1" t="s">
        <v>412</v>
      </c>
    </row>
    <row r="26" spans="1:7" x14ac:dyDescent="0.25">
      <c r="A26" s="1" t="str">
        <f>"`" &amp; Columnas[[#This Row],[Column]] &amp; "` " &amp; Columnas[[#This Row],[Type]] &amp; " " &amp; Columnas[[#This Row],[NN]] &amp; " " &amp; Columnas[[#This Row],[Default]] &amp; ","</f>
        <v>`LiabilitiestoEquityRatio` DOUBLE  DEFAULT NULL,</v>
      </c>
      <c r="B26" s="1" t="s">
        <v>400</v>
      </c>
      <c r="C26" s="1" t="s">
        <v>178</v>
      </c>
      <c r="D26" s="17"/>
      <c r="E26" s="1" t="s">
        <v>404</v>
      </c>
      <c r="G26" s="1" t="s">
        <v>412</v>
      </c>
    </row>
    <row r="27" spans="1:7" x14ac:dyDescent="0.25">
      <c r="A27" s="1" t="str">
        <f>"`" &amp; Columnas[[#This Row],[Column]] &amp; "` " &amp; Columnas[[#This Row],[Type]] &amp; " " &amp; Columnas[[#This Row],[NN]] &amp; " " &amp; Columnas[[#This Row],[Default]] &amp; ","</f>
        <v>`NetDebttoEBITDA` DOUBLE  DEFAULT NULL,</v>
      </c>
      <c r="B27" s="1" t="s">
        <v>400</v>
      </c>
      <c r="C27" s="1" t="s">
        <v>177</v>
      </c>
      <c r="D27" s="17"/>
      <c r="E27" s="1" t="s">
        <v>404</v>
      </c>
      <c r="G27" s="1" t="s">
        <v>412</v>
      </c>
    </row>
    <row r="28" spans="1:7" x14ac:dyDescent="0.25">
      <c r="A28" s="1" t="str">
        <f>"`" &amp; Columnas[[#This Row],[Column]] &amp; "` " &amp; Columnas[[#This Row],[Type]] &amp; " " &amp; Columnas[[#This Row],[NN]] &amp; " " &amp; Columnas[[#This Row],[Default]] &amp; ","</f>
        <v>`MeanNetDebttoEBITDA` DOUBLE  DEFAULT NULL,</v>
      </c>
      <c r="B28" s="1" t="s">
        <v>400</v>
      </c>
      <c r="C28" s="1" t="s">
        <v>176</v>
      </c>
      <c r="D28" s="17"/>
      <c r="E28" s="1" t="s">
        <v>404</v>
      </c>
      <c r="G28" s="1" t="s">
        <v>412</v>
      </c>
    </row>
    <row r="29" spans="1:7" x14ac:dyDescent="0.25">
      <c r="A29" s="1" t="str">
        <f>"`" &amp; Columnas[[#This Row],[Column]] &amp; "` " &amp; Columnas[[#This Row],[Type]] &amp; " " &amp; Columnas[[#This Row],[NN]] &amp; " " &amp; Columnas[[#This Row],[Default]] &amp; ","</f>
        <v>`InterestExpensetoEBIT` DOUBLE  DEFAULT NULL,</v>
      </c>
      <c r="B29" s="1" t="s">
        <v>400</v>
      </c>
      <c r="C29" s="1" t="s">
        <v>175</v>
      </c>
      <c r="D29" s="17"/>
      <c r="E29" s="1" t="s">
        <v>404</v>
      </c>
      <c r="G29" s="1" t="s">
        <v>412</v>
      </c>
    </row>
    <row r="30" spans="1:7" x14ac:dyDescent="0.25">
      <c r="A30" s="1" t="str">
        <f>"`" &amp; Columnas[[#This Row],[Column]] &amp; "` " &amp; Columnas[[#This Row],[Type]] &amp; " " &amp; Columnas[[#This Row],[NN]] &amp; " " &amp; Columnas[[#This Row],[Default]] &amp; ","</f>
        <v>`EntrepriseValueUSD` DOUBLE  DEFAULT NULL,</v>
      </c>
      <c r="B30" s="1" t="s">
        <v>400</v>
      </c>
      <c r="C30" s="1" t="s">
        <v>174</v>
      </c>
      <c r="D30" s="17"/>
      <c r="E30" s="1" t="s">
        <v>404</v>
      </c>
      <c r="G30" s="1" t="s">
        <v>412</v>
      </c>
    </row>
    <row r="31" spans="1:7" x14ac:dyDescent="0.25">
      <c r="A31" s="1" t="str">
        <f>"`" &amp; Columnas[[#This Row],[Column]] &amp; "` " &amp; Columnas[[#This Row],[Type]] &amp; " " &amp; Columnas[[#This Row],[NN]] &amp; " " &amp; Columnas[[#This Row],[Default]] &amp; ","</f>
        <v>`DCFValuewithExitMultiplePotential` DOUBLE  DEFAULT NULL,</v>
      </c>
      <c r="B31" s="1" t="s">
        <v>400</v>
      </c>
      <c r="C31" s="1" t="s">
        <v>173</v>
      </c>
      <c r="D31" s="17"/>
      <c r="E31" s="1" t="s">
        <v>404</v>
      </c>
      <c r="G31" s="1" t="s">
        <v>412</v>
      </c>
    </row>
    <row r="32" spans="1:7" x14ac:dyDescent="0.25">
      <c r="A32" s="1" t="str">
        <f>"`" &amp; Columnas[[#This Row],[Column]] &amp; "` " &amp; Columnas[[#This Row],[Type]] &amp; " " &amp; Columnas[[#This Row],[NN]] &amp; " " &amp; Columnas[[#This Row],[Default]] &amp; ","</f>
        <v>`EBITDATendency` DOUBLE  DEFAULT NULL,</v>
      </c>
      <c r="B32" s="1" t="s">
        <v>400</v>
      </c>
      <c r="C32" s="1" t="s">
        <v>172</v>
      </c>
      <c r="D32" s="17"/>
      <c r="E32" s="1" t="s">
        <v>404</v>
      </c>
      <c r="G32" s="1" t="s">
        <v>412</v>
      </c>
    </row>
    <row r="33" spans="1:7" x14ac:dyDescent="0.25">
      <c r="A33" s="1" t="str">
        <f>"`" &amp; Columnas[[#This Row],[Column]] &amp; "` " &amp; Columnas[[#This Row],[Type]] &amp; " " &amp; Columnas[[#This Row],[NN]] &amp; " " &amp; Columnas[[#This Row],[Default]] &amp; ","</f>
        <v>`FreeCashFlowTendency` DOUBLE  DEFAULT NULL,</v>
      </c>
      <c r="B33" s="1" t="s">
        <v>400</v>
      </c>
      <c r="C33" s="1" t="s">
        <v>171</v>
      </c>
      <c r="D33" s="17"/>
      <c r="E33" s="1" t="s">
        <v>404</v>
      </c>
      <c r="G33" s="1" t="s">
        <v>412</v>
      </c>
    </row>
    <row r="34" spans="1:7" x14ac:dyDescent="0.25">
      <c r="A34" s="1" t="str">
        <f>"`" &amp; Columnas[[#This Row],[Column]] &amp; "` " &amp; Columnas[[#This Row],[Type]] &amp; " " &amp; Columnas[[#This Row],[NN]] &amp; " " &amp; Columnas[[#This Row],[Default]] &amp; ","</f>
        <v>`OperatingCashFlowTendency` DOUBLE  DEFAULT NULL,</v>
      </c>
      <c r="B34" s="1" t="s">
        <v>400</v>
      </c>
      <c r="C34" s="1" t="s">
        <v>170</v>
      </c>
      <c r="D34" s="17"/>
      <c r="E34" s="1" t="s">
        <v>404</v>
      </c>
      <c r="G34" s="1" t="s">
        <v>412</v>
      </c>
    </row>
    <row r="35" spans="1:7" x14ac:dyDescent="0.25">
      <c r="A35" s="1" t="str">
        <f>"`" &amp; Columnas[[#This Row],[Column]] &amp; "` " &amp; Columnas[[#This Row],[Type]] &amp; " " &amp; Columnas[[#This Row],[NN]] &amp; " " &amp; Columnas[[#This Row],[Default]] &amp; ","</f>
        <v>`NetIncomeTendency` DOUBLE  DEFAULT NULL,</v>
      </c>
      <c r="B35" s="1" t="s">
        <v>400</v>
      </c>
      <c r="C35" s="1" t="s">
        <v>169</v>
      </c>
      <c r="D35" s="17"/>
      <c r="E35" s="1" t="s">
        <v>404</v>
      </c>
      <c r="G35" s="1" t="s">
        <v>412</v>
      </c>
    </row>
    <row r="36" spans="1:7" x14ac:dyDescent="0.25">
      <c r="A36" s="1" t="str">
        <f>"`" &amp; Columnas[[#This Row],[Column]] &amp; "` " &amp; Columnas[[#This Row],[Type]] &amp; " " &amp; Columnas[[#This Row],[NN]] &amp; " " &amp; Columnas[[#This Row],[Default]] &amp; ","</f>
        <v>`EquityTendency` DOUBLE  DEFAULT NULL,</v>
      </c>
      <c r="B36" s="1" t="s">
        <v>400</v>
      </c>
      <c r="C36" s="1" t="s">
        <v>168</v>
      </c>
      <c r="D36" s="17"/>
      <c r="E36" s="1" t="s">
        <v>404</v>
      </c>
      <c r="G36" s="1" t="s">
        <v>412</v>
      </c>
    </row>
    <row r="37" spans="1:7" x14ac:dyDescent="0.25">
      <c r="A37" s="1" t="str">
        <f>"`" &amp; Columnas[[#This Row],[Column]] &amp; "` " &amp; Columnas[[#This Row],[Type]] &amp; " " &amp; Columnas[[#This Row],[NN]] &amp; " " &amp; Columnas[[#This Row],[Default]] &amp; ","</f>
        <v>`DividendYield` DOUBLE  DEFAULT NULL,</v>
      </c>
      <c r="B37" s="1" t="s">
        <v>400</v>
      </c>
      <c r="C37" s="1" t="s">
        <v>167</v>
      </c>
      <c r="D37" s="17"/>
      <c r="E37" s="1" t="s">
        <v>404</v>
      </c>
      <c r="G37" s="1" t="s">
        <v>412</v>
      </c>
    </row>
    <row r="38" spans="1:7" x14ac:dyDescent="0.25">
      <c r="A38" s="1" t="str">
        <f>"`" &amp; Columnas[[#This Row],[Column]] &amp; "` " &amp; Columnas[[#This Row],[Type]] &amp; " " &amp; Columnas[[#This Row],[NN]] &amp; " " &amp; Columnas[[#This Row],[Default]] &amp; ","</f>
        <v>`TargetPrice` DOUBLE  DEFAULT NULL,</v>
      </c>
      <c r="B38" s="1" t="s">
        <v>400</v>
      </c>
      <c r="C38" s="1" t="s">
        <v>166</v>
      </c>
      <c r="D38" s="17"/>
      <c r="E38" s="1" t="s">
        <v>404</v>
      </c>
      <c r="G38" s="1" t="s">
        <v>412</v>
      </c>
    </row>
    <row r="39" spans="1:7" x14ac:dyDescent="0.25">
      <c r="A39" s="1" t="str">
        <f>"`" &amp; Columnas[[#This Row],[Column]] &amp; "` " &amp; Columnas[[#This Row],[Type]] &amp; " " &amp; Columnas[[#This Row],[NN]] &amp; " " &amp; Columnas[[#This Row],[Default]] &amp; ","</f>
        <v>`CompanyId` VARCHAR(32) NOT NULL ,</v>
      </c>
      <c r="B39" s="1" t="s">
        <v>408</v>
      </c>
      <c r="C39" s="8" t="s">
        <v>245</v>
      </c>
      <c r="D39" s="16"/>
      <c r="E39" s="1" t="s">
        <v>405</v>
      </c>
      <c r="F39" s="1" t="s">
        <v>411</v>
      </c>
    </row>
    <row r="40" spans="1:7" x14ac:dyDescent="0.25">
      <c r="A40" s="1" t="str">
        <f>"`" &amp; Columnas[[#This Row],[Column]] &amp; "` " &amp; Columnas[[#This Row],[Type]] &amp; " " &amp; Columnas[[#This Row],[NN]] &amp; " " &amp; Columnas[[#This Row],[Default]] &amp; ","</f>
        <v>`Ticker` VARCHAR(16) NOT NULL ,</v>
      </c>
      <c r="B40" s="1" t="s">
        <v>408</v>
      </c>
      <c r="C40" s="1" t="s">
        <v>200</v>
      </c>
      <c r="D40" s="17"/>
      <c r="E40" s="1" t="s">
        <v>403</v>
      </c>
      <c r="F40" s="1" t="s">
        <v>411</v>
      </c>
    </row>
    <row r="41" spans="1:7" x14ac:dyDescent="0.25">
      <c r="A41" s="1" t="str">
        <f>"`" &amp; Columnas[[#This Row],[Column]] &amp; "` " &amp; Columnas[[#This Row],[Type]] &amp; " " &amp; Columnas[[#This Row],[NN]] &amp; " " &amp; Columnas[[#This Row],[Default]] &amp; ","</f>
        <v>`CompanyName` VARCHAR(255)  DEFAULT NULL,</v>
      </c>
      <c r="B41" s="1" t="s">
        <v>408</v>
      </c>
      <c r="C41" s="1" t="s">
        <v>199</v>
      </c>
      <c r="D41" s="17"/>
      <c r="E41" s="1" t="s">
        <v>402</v>
      </c>
      <c r="F41" s="1"/>
      <c r="G41" t="s">
        <v>412</v>
      </c>
    </row>
    <row r="42" spans="1:7" x14ac:dyDescent="0.25">
      <c r="A42" s="1" t="str">
        <f>"`" &amp; Columnas[[#This Row],[Column]] &amp; "` " &amp; Columnas[[#This Row],[Type]] &amp; " " &amp; Columnas[[#This Row],[NN]] &amp; " " &amp; Columnas[[#This Row],[Default]] &amp; ","</f>
        <v>`StockCurrency` VARCHAR(3)  DEFAULT NULL,</v>
      </c>
      <c r="B42" s="1" t="s">
        <v>408</v>
      </c>
      <c r="C42" s="1" t="s">
        <v>195</v>
      </c>
      <c r="D42" s="17"/>
      <c r="E42" s="1" t="s">
        <v>406</v>
      </c>
      <c r="G42" s="1" t="s">
        <v>412</v>
      </c>
    </row>
    <row r="43" spans="1:7" x14ac:dyDescent="0.25">
      <c r="A43" s="1" t="str">
        <f>"`" &amp; Columnas[[#This Row],[Column]] &amp; "` " &amp; Columnas[[#This Row],[Type]] &amp; " " &amp; Columnas[[#This Row],[NN]] &amp; " " &amp; Columnas[[#This Row],[Default]] &amp; ","</f>
        <v>`ReportCurrency` VARCHAR(3)  DEFAULT NULL,</v>
      </c>
      <c r="B43" s="1" t="s">
        <v>408</v>
      </c>
      <c r="C43" s="1" t="s">
        <v>194</v>
      </c>
      <c r="D43" s="17"/>
      <c r="E43" s="1" t="s">
        <v>406</v>
      </c>
      <c r="G43" s="1" t="s">
        <v>412</v>
      </c>
    </row>
    <row r="44" spans="1:7" x14ac:dyDescent="0.25">
      <c r="A44" s="1" t="str">
        <f>"`" &amp; Columnas[[#This Row],[Column]] &amp; "` " &amp; Columnas[[#This Row],[Type]] &amp; " " &amp; Columnas[[#This Row],[NN]] &amp; " " &amp; Columnas[[#This Row],[Default]] &amp; ","</f>
        <v>`CountryId` VARCHAR(32)  DEFAULT NULL,</v>
      </c>
      <c r="B44" s="1" t="s">
        <v>408</v>
      </c>
      <c r="C44" s="8" t="s">
        <v>379</v>
      </c>
      <c r="D44" s="16"/>
      <c r="E44" s="1" t="s">
        <v>405</v>
      </c>
      <c r="G44" s="1" t="s">
        <v>412</v>
      </c>
    </row>
    <row r="45" spans="1:7" hidden="1" x14ac:dyDescent="0.25">
      <c r="A45" s="1" t="str">
        <f>"`" &amp; Columnas[[#This Row],[Column]] &amp; "` " &amp; Columnas[[#This Row],[Type]] &amp; " " &amp; Columnas[[#This Row],[NN]] &amp; " " &amp; Columnas[[#This Row],[Default]] &amp; ","</f>
        <v>`Country`   ,</v>
      </c>
      <c r="B45" s="1" t="s">
        <v>408</v>
      </c>
      <c r="C45" s="11" t="s">
        <v>196</v>
      </c>
      <c r="D45" s="18" t="s">
        <v>416</v>
      </c>
      <c r="E45" s="1"/>
    </row>
    <row r="46" spans="1:7" x14ac:dyDescent="0.25">
      <c r="A46" s="1" t="str">
        <f>"`" &amp; Columnas[[#This Row],[Column]] &amp; "` " &amp; Columnas[[#This Row],[Type]] &amp; " " &amp; Columnas[[#This Row],[NN]] &amp; " " &amp; Columnas[[#This Row],[Default]] &amp; ","</f>
        <v>`IndustryId` VARCHAR(32)  DEFAULT NULL,</v>
      </c>
      <c r="B46" s="1" t="s">
        <v>408</v>
      </c>
      <c r="C46" s="8" t="s">
        <v>367</v>
      </c>
      <c r="D46" s="16"/>
      <c r="E46" s="1" t="s">
        <v>405</v>
      </c>
      <c r="G46" s="1" t="s">
        <v>412</v>
      </c>
    </row>
    <row r="47" spans="1:7" hidden="1" x14ac:dyDescent="0.25">
      <c r="A47" s="1" t="str">
        <f>"`" &amp; Columnas[[#This Row],[Column]] &amp; "` " &amp; Columnas[[#This Row],[Type]] &amp; " " &amp; Columnas[[#This Row],[NN]] &amp; " " &amp; Columnas[[#This Row],[Default]] &amp; ","</f>
        <v>`Industry`   ,</v>
      </c>
      <c r="B47" s="1" t="s">
        <v>408</v>
      </c>
      <c r="C47" s="11" t="s">
        <v>275</v>
      </c>
      <c r="D47" s="18" t="s">
        <v>416</v>
      </c>
      <c r="E47" s="1"/>
    </row>
    <row r="48" spans="1:7" x14ac:dyDescent="0.25">
      <c r="A48" s="1" t="str">
        <f>"`" &amp; Columnas[[#This Row],[Column]] &amp; "` " &amp; Columnas[[#This Row],[Type]] &amp; " " &amp; Columnas[[#This Row],[NN]] &amp; " " &amp; Columnas[[#This Row],[Default]] &amp; ","</f>
        <v>`SectorId` VARCHAR(32)  DEFAULT NULL,</v>
      </c>
      <c r="B48" s="1" t="s">
        <v>408</v>
      </c>
      <c r="C48" s="8" t="s">
        <v>246</v>
      </c>
      <c r="D48" s="16"/>
      <c r="E48" s="1" t="s">
        <v>405</v>
      </c>
      <c r="G48" s="1" t="s">
        <v>412</v>
      </c>
    </row>
    <row r="49" spans="1:7" hidden="1" x14ac:dyDescent="0.25">
      <c r="A49" s="1" t="str">
        <f>"`" &amp; Columnas[[#This Row],[Column]] &amp; "` " &amp; Columnas[[#This Row],[Type]] &amp; " " &amp; Columnas[[#This Row],[NN]] &amp; " " &amp; Columnas[[#This Row],[Default]] &amp; ","</f>
        <v>`Sector`   ,</v>
      </c>
      <c r="B49" s="1" t="s">
        <v>408</v>
      </c>
      <c r="C49" s="11" t="s">
        <v>197</v>
      </c>
      <c r="D49" s="18" t="s">
        <v>416</v>
      </c>
      <c r="E49" s="1"/>
    </row>
    <row r="50" spans="1:7" x14ac:dyDescent="0.25">
      <c r="A50" s="1" t="str">
        <f>"`" &amp; Columnas[[#This Row],[Column]] &amp; "` " &amp; Columnas[[#This Row],[Type]] &amp; " " &amp; Columnas[[#This Row],[NN]] &amp; " " &amp; Columnas[[#This Row],[Default]] &amp; ","</f>
        <v>`Beta` DOUBLE  DEFAULT 0,</v>
      </c>
      <c r="B50" s="1" t="s">
        <v>408</v>
      </c>
      <c r="C50" s="1" t="s">
        <v>182</v>
      </c>
      <c r="D50" s="17"/>
      <c r="E50" s="1" t="s">
        <v>404</v>
      </c>
      <c r="G50" t="s">
        <v>413</v>
      </c>
    </row>
    <row r="51" spans="1:7" x14ac:dyDescent="0.25">
      <c r="A51" s="1" t="str">
        <f>"`" &amp; Columnas[[#This Row],[Column]] &amp; "` " &amp; Columnas[[#This Row],[Type]] &amp; " " &amp; Columnas[[#This Row],[NN]] &amp; " " &amp; Columnas[[#This Row],[Default]] &amp; ","</f>
        <v>`BalanceSheetDate` DATE  DEFAULT NULL,</v>
      </c>
      <c r="B51" s="1" t="s">
        <v>408</v>
      </c>
      <c r="C51" s="1" t="s">
        <v>276</v>
      </c>
      <c r="D51" s="17"/>
      <c r="E51" s="1" t="s">
        <v>397</v>
      </c>
      <c r="G51" s="1" t="s">
        <v>412</v>
      </c>
    </row>
    <row r="52" spans="1:7" x14ac:dyDescent="0.25">
      <c r="A52" s="1" t="str">
        <f>"`" &amp; Columnas[[#This Row],[Column]] &amp; "` " &amp; Columnas[[#This Row],[Type]] &amp; " " &amp; Columnas[[#This Row],[NN]] &amp; " " &amp; Columnas[[#This Row],[Default]] &amp; ","</f>
        <v>`LastYearReport` INT  DEFAULT NULL,</v>
      </c>
      <c r="B52" s="1" t="s">
        <v>408</v>
      </c>
      <c r="C52" s="1" t="s">
        <v>277</v>
      </c>
      <c r="D52" s="17"/>
      <c r="E52" s="1" t="s">
        <v>407</v>
      </c>
      <c r="G52" s="1" t="s">
        <v>412</v>
      </c>
    </row>
    <row r="53" spans="1:7" x14ac:dyDescent="0.25">
      <c r="A53" s="1" t="str">
        <f>"`" &amp; Columnas[[#This Row],[Column]] &amp; "` " &amp; Columnas[[#This Row],[Type]] &amp; " " &amp; Columnas[[#This Row],[NN]] &amp; " " &amp; Columnas[[#This Row],[Default]] &amp; ","</f>
        <v>`DividendYield` DOUBLE  DEFAULT NULL,</v>
      </c>
      <c r="B53" s="1" t="s">
        <v>408</v>
      </c>
      <c r="C53" s="1" t="s">
        <v>167</v>
      </c>
      <c r="D53" s="17"/>
      <c r="E53" s="1" t="s">
        <v>404</v>
      </c>
      <c r="G53" s="1" t="s">
        <v>412</v>
      </c>
    </row>
    <row r="54" spans="1:7" x14ac:dyDescent="0.25">
      <c r="A54" s="1" t="str">
        <f>"`" &amp; Columnas[[#This Row],[Column]] &amp; "` " &amp; Columnas[[#This Row],[Type]] &amp; " " &amp; Columnas[[#This Row],[NN]] &amp; " " &amp; Columnas[[#This Row],[Default]] &amp; ","</f>
        <v>`PercentInsidersHold` DOUBLE  DEFAULT NULL,</v>
      </c>
      <c r="B54" s="1" t="s">
        <v>408</v>
      </c>
      <c r="C54" s="1" t="s">
        <v>278</v>
      </c>
      <c r="D54" s="17"/>
      <c r="E54" s="1" t="s">
        <v>404</v>
      </c>
      <c r="G54" s="1" t="s">
        <v>412</v>
      </c>
    </row>
    <row r="55" spans="1:7" x14ac:dyDescent="0.25">
      <c r="A55" s="1" t="str">
        <f>"`" &amp; Columnas[[#This Row],[Column]] &amp; "` " &amp; Columnas[[#This Row],[Type]] &amp; " " &amp; Columnas[[#This Row],[NN]] &amp; " " &amp; Columnas[[#This Row],[Default]] &amp; ","</f>
        <v>`PercentInstitutionsHold` DOUBLE  DEFAULT NULL,</v>
      </c>
      <c r="B55" s="1" t="s">
        <v>408</v>
      </c>
      <c r="C55" s="1" t="s">
        <v>279</v>
      </c>
      <c r="D55" s="17"/>
      <c r="E55" s="1" t="s">
        <v>404</v>
      </c>
      <c r="G55" s="1" t="s">
        <v>412</v>
      </c>
    </row>
    <row r="56" spans="1:7" x14ac:dyDescent="0.25">
      <c r="A56" s="1" t="str">
        <f>"`" &amp; Columnas[[#This Row],[Column]] &amp; "` " &amp; Columnas[[#This Row],[Type]] &amp; " " &amp; Columnas[[#This Row],[NN]] &amp; " " &amp; Columnas[[#This Row],[Default]] &amp; ","</f>
        <v>`SharesOutstanding` DOUBLE  DEFAULT NULL,</v>
      </c>
      <c r="B56" s="1" t="s">
        <v>408</v>
      </c>
      <c r="C56" s="1" t="s">
        <v>280</v>
      </c>
      <c r="D56" s="17"/>
      <c r="E56" s="1" t="s">
        <v>404</v>
      </c>
      <c r="G56" s="1" t="s">
        <v>412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D8EB-6AF9-43F5-8F7A-792A8C27AC14}">
  <sheetPr codeName="Hoja24"/>
  <dimension ref="A1:AP54"/>
  <sheetViews>
    <sheetView workbookViewId="0">
      <pane ySplit="2" topLeftCell="A3" activePane="bottomLeft" state="frozen"/>
      <selection pane="bottomLeft" activeCell="B3" sqref="B3"/>
    </sheetView>
  </sheetViews>
  <sheetFormatPr baseColWidth="10" defaultColWidth="0" defaultRowHeight="15" outlineLevelCol="1" x14ac:dyDescent="0.25"/>
  <cols>
    <col min="1" max="1" width="23.140625" style="1" customWidth="1" outlineLevel="1"/>
    <col min="2" max="2" width="21.140625" style="1" customWidth="1" outlineLevel="1"/>
    <col min="3" max="3" width="34.28515625" style="1" bestFit="1" customWidth="1"/>
    <col min="4" max="4" width="13" style="1" bestFit="1" customWidth="1"/>
    <col min="5" max="5" width="16.7109375" style="1" customWidth="1"/>
    <col min="6" max="6" width="14.28515625" style="1" customWidth="1"/>
    <col min="7" max="7" width="31.85546875" style="1" bestFit="1" customWidth="1"/>
    <col min="8" max="8" width="11.42578125" style="1" customWidth="1"/>
    <col min="9" max="9" width="15.7109375" style="1" customWidth="1"/>
    <col min="10" max="10" width="17" style="1" customWidth="1"/>
    <col min="11" max="11" width="16.7109375" style="1" customWidth="1"/>
    <col min="12" max="12" width="13.140625" style="1" customWidth="1"/>
    <col min="13" max="13" width="11.5703125" style="1" customWidth="1"/>
    <col min="14" max="14" width="18.42578125" style="1" customWidth="1"/>
    <col min="15" max="15" width="16.85546875" style="1" customWidth="1"/>
    <col min="16" max="16" width="15.85546875" style="1" customWidth="1"/>
    <col min="17" max="17" width="20.5703125" style="1" customWidth="1"/>
    <col min="18" max="18" width="32.5703125" style="1" customWidth="1"/>
    <col min="19" max="19" width="31" style="1" customWidth="1"/>
    <col min="20" max="20" width="12.7109375" style="1" bestFit="1" customWidth="1"/>
    <col min="21" max="23" width="11.42578125" style="1" customWidth="1"/>
    <col min="24" max="24" width="15.42578125" style="1" customWidth="1"/>
    <col min="25" max="25" width="20.7109375" style="1" customWidth="1"/>
    <col min="26" max="26" width="18.42578125" style="1" customWidth="1"/>
    <col min="27" max="27" width="23.7109375" style="1" customWidth="1"/>
    <col min="28" max="28" width="18.85546875" style="1" customWidth="1"/>
    <col min="29" max="29" width="24" style="1" customWidth="1"/>
    <col min="30" max="30" width="23.140625" style="1" customWidth="1"/>
    <col min="31" max="31" width="21.140625" style="1" customWidth="1"/>
    <col min="32" max="32" width="34.85546875" style="1" customWidth="1"/>
    <col min="33" max="33" width="18" style="1" customWidth="1"/>
    <col min="34" max="34" width="24.140625" style="1" customWidth="1"/>
    <col min="35" max="35" width="29" style="1" customWidth="1"/>
    <col min="36" max="36" width="21.5703125" style="1" customWidth="1"/>
    <col min="37" max="37" width="17.28515625" style="1" customWidth="1"/>
    <col min="38" max="38" width="15.7109375" style="1" customWidth="1"/>
    <col min="39" max="39" width="13.140625" style="1" customWidth="1"/>
    <col min="40" max="41" width="11.42578125" style="1" customWidth="1"/>
    <col min="42" max="42" width="0" style="1" hidden="1" customWidth="1"/>
    <col min="43" max="16384" width="11.42578125" style="1" hidden="1"/>
  </cols>
  <sheetData>
    <row r="1" spans="1:39" x14ac:dyDescent="0.25">
      <c r="C1" s="1" t="s">
        <v>405</v>
      </c>
      <c r="D1" s="1" t="s">
        <v>403</v>
      </c>
      <c r="F1" s="1" t="s">
        <v>396</v>
      </c>
      <c r="K1" s="1" t="s">
        <v>397</v>
      </c>
      <c r="L1" s="1" t="s">
        <v>404</v>
      </c>
      <c r="M1" s="1" t="s">
        <v>404</v>
      </c>
      <c r="N1" s="1" t="s">
        <v>404</v>
      </c>
      <c r="O1" s="1" t="s">
        <v>404</v>
      </c>
      <c r="P1" s="1" t="s">
        <v>404</v>
      </c>
      <c r="Q1" s="1" t="s">
        <v>404</v>
      </c>
      <c r="R1" s="1" t="s">
        <v>404</v>
      </c>
      <c r="S1" s="1" t="s">
        <v>404</v>
      </c>
      <c r="T1" s="1" t="s">
        <v>404</v>
      </c>
      <c r="U1" s="1" t="s">
        <v>404</v>
      </c>
      <c r="V1" s="1" t="s">
        <v>404</v>
      </c>
      <c r="W1" s="1" t="s">
        <v>404</v>
      </c>
      <c r="X1" s="1" t="s">
        <v>404</v>
      </c>
      <c r="Y1" s="1" t="s">
        <v>404</v>
      </c>
      <c r="Z1" s="1" t="s">
        <v>404</v>
      </c>
      <c r="AA1" s="1" t="s">
        <v>404</v>
      </c>
      <c r="AB1" s="1" t="s">
        <v>404</v>
      </c>
      <c r="AC1" s="1" t="s">
        <v>404</v>
      </c>
      <c r="AD1" s="1" t="s">
        <v>404</v>
      </c>
      <c r="AE1" s="1" t="s">
        <v>404</v>
      </c>
      <c r="AF1" s="1" t="s">
        <v>404</v>
      </c>
      <c r="AG1" s="1" t="s">
        <v>404</v>
      </c>
      <c r="AH1" s="1" t="s">
        <v>404</v>
      </c>
      <c r="AI1" s="1" t="s">
        <v>404</v>
      </c>
      <c r="AJ1" s="1" t="s">
        <v>404</v>
      </c>
      <c r="AK1" s="1" t="s">
        <v>404</v>
      </c>
      <c r="AL1" s="1" t="s">
        <v>404</v>
      </c>
      <c r="AM1" s="1" t="s">
        <v>404</v>
      </c>
    </row>
    <row r="2" spans="1:39" x14ac:dyDescent="0.25">
      <c r="A2" s="6" t="s">
        <v>363</v>
      </c>
      <c r="B2" s="6" t="s">
        <v>165</v>
      </c>
      <c r="C2" s="8" t="s">
        <v>245</v>
      </c>
      <c r="D2" s="1" t="s">
        <v>200</v>
      </c>
      <c r="E2" s="11" t="s">
        <v>199</v>
      </c>
      <c r="F2" s="1" t="s">
        <v>198</v>
      </c>
      <c r="G2" s="11" t="s">
        <v>197</v>
      </c>
      <c r="H2" s="11" t="s">
        <v>196</v>
      </c>
      <c r="I2" s="11" t="s">
        <v>195</v>
      </c>
      <c r="J2" s="11" t="s">
        <v>194</v>
      </c>
      <c r="K2" s="1" t="s">
        <v>193</v>
      </c>
      <c r="L2" s="1" t="s">
        <v>192</v>
      </c>
      <c r="M2" s="1" t="s">
        <v>191</v>
      </c>
      <c r="N2" s="1" t="s">
        <v>190</v>
      </c>
      <c r="O2" s="1" t="s">
        <v>189</v>
      </c>
      <c r="P2" s="1" t="s">
        <v>188</v>
      </c>
      <c r="Q2" s="1" t="s">
        <v>187</v>
      </c>
      <c r="R2" s="1" t="s">
        <v>186</v>
      </c>
      <c r="S2" s="1" t="s">
        <v>185</v>
      </c>
      <c r="T2" s="1" t="s">
        <v>184</v>
      </c>
      <c r="U2" s="1" t="s">
        <v>183</v>
      </c>
      <c r="V2" s="1" t="s">
        <v>4</v>
      </c>
      <c r="W2" s="1" t="s">
        <v>182</v>
      </c>
      <c r="X2" s="1" t="s">
        <v>181</v>
      </c>
      <c r="Y2" s="1" t="s">
        <v>180</v>
      </c>
      <c r="Z2" s="1" t="s">
        <v>179</v>
      </c>
      <c r="AA2" s="1" t="s">
        <v>178</v>
      </c>
      <c r="AB2" s="1" t="s">
        <v>177</v>
      </c>
      <c r="AC2" s="1" t="s">
        <v>176</v>
      </c>
      <c r="AD2" s="1" t="s">
        <v>175</v>
      </c>
      <c r="AE2" s="1" t="s">
        <v>174</v>
      </c>
      <c r="AF2" s="1" t="s">
        <v>173</v>
      </c>
      <c r="AG2" s="1" t="s">
        <v>172</v>
      </c>
      <c r="AH2" s="1" t="s">
        <v>171</v>
      </c>
      <c r="AI2" s="1" t="s">
        <v>170</v>
      </c>
      <c r="AJ2" s="1" t="s">
        <v>169</v>
      </c>
      <c r="AK2" s="1" t="s">
        <v>168</v>
      </c>
      <c r="AL2" s="1" t="s">
        <v>167</v>
      </c>
      <c r="AM2" s="1" t="s">
        <v>166</v>
      </c>
    </row>
    <row r="3" spans="1:39" x14ac:dyDescent="0.25">
      <c r="A3" s="1" t="str" cm="1">
        <f t="array" ref="A3">SQLupdate("FundamentalAnalysis", 1, "NULL", FundamentalAnalysis[[#This Row],[Ticker]], FundamentalAnalysis[[#This Row],[CompanyId]])</f>
        <v>UPDATE FundamentalAnalysis SET CompanyId = "3f4e7fcfddec4490891c2dd2eb751cbf" WHERE (Ticker = "RM.MI");</v>
      </c>
      <c r="B3" s="1" t="str" cm="1">
        <f t="array" ref="B3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RM.MI",1.4,,15.6682662215731,26.2013950067991,7.55256622990216,8.35933494661553,14.088009904583,0.623523928733122,10.3489644853925,21.0676665474832,0.143302566555758,0.139751682497256,6.51478258167993E-02,0.94,0.251003255849171,0.167740818663613,0.640087442277772,1.1996523254473,1.5368198203353,2.48363477035822,53.971198156682,,2.16011579828463,0.337992488904063,0.849731716280779,0.363552577681549,0.311477210323998,0.123257649956965,,);</v>
      </c>
      <c r="C3" s="9" t="s">
        <v>306</v>
      </c>
      <c r="D3" s="1" t="s">
        <v>164</v>
      </c>
      <c r="E3" s="10" t="s">
        <v>163</v>
      </c>
      <c r="F3" s="1">
        <v>1.4</v>
      </c>
      <c r="G3" s="15" t="s">
        <v>162</v>
      </c>
      <c r="H3" s="15"/>
      <c r="I3" s="15" t="s">
        <v>3</v>
      </c>
      <c r="J3" s="15"/>
      <c r="L3" s="1">
        <v>15.6682662215731</v>
      </c>
      <c r="M3" s="1">
        <v>26.2013950067991</v>
      </c>
      <c r="N3" s="1">
        <v>7.5525662299021601</v>
      </c>
      <c r="O3" s="1">
        <v>8.3593349466155296</v>
      </c>
      <c r="P3" s="1">
        <v>14.088009904583</v>
      </c>
      <c r="Q3" s="1">
        <v>0.62352392873312201</v>
      </c>
      <c r="R3" s="1">
        <v>10.3489644853925</v>
      </c>
      <c r="S3" s="1">
        <v>21.067666547483199</v>
      </c>
      <c r="T3" s="1">
        <v>0.14330256655575799</v>
      </c>
      <c r="U3" s="1">
        <v>0.139751682497256</v>
      </c>
      <c r="V3" s="1">
        <v>6.5147825816799301E-2</v>
      </c>
      <c r="W3" s="1">
        <v>0.94</v>
      </c>
      <c r="X3" s="1">
        <v>0.25100325584917099</v>
      </c>
      <c r="Y3" s="1">
        <v>0.16774081866361301</v>
      </c>
      <c r="Z3" s="1">
        <v>0.64008744227777203</v>
      </c>
      <c r="AA3" s="1">
        <v>1.1996523254472999</v>
      </c>
      <c r="AB3" s="1">
        <v>1.5368198203353001</v>
      </c>
      <c r="AC3" s="1">
        <v>2.4836347703582198</v>
      </c>
      <c r="AD3" s="1">
        <v>53.971198156682</v>
      </c>
      <c r="AF3" s="1">
        <v>2.1601157982846302</v>
      </c>
      <c r="AG3" s="1">
        <v>0.33799248890406303</v>
      </c>
      <c r="AH3" s="1">
        <v>0.84973171628077904</v>
      </c>
      <c r="AI3" s="1">
        <v>0.36355257768154903</v>
      </c>
      <c r="AJ3" s="1">
        <v>0.311477210323998</v>
      </c>
      <c r="AK3" s="1">
        <v>0.123257649956965</v>
      </c>
    </row>
    <row r="4" spans="1:39" x14ac:dyDescent="0.25">
      <c r="A4" s="1" t="str" cm="1">
        <f t="array" ref="A4">SQLupdate("FundamentalAnalysis", 1, "NULL", FundamentalAnalysis[[#This Row],[Ticker]], FundamentalAnalysis[[#This Row],[CompanyId]])</f>
        <v>UPDATE FundamentalAnalysis SET CompanyId = "15632ba4e4504817bea2daa77b05c24f" WHERE (Ticker = "LNA.PA");</v>
      </c>
      <c r="B4" s="1" t="str" cm="1">
        <f t="array" ref="B4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LNA.PA",39,"2020-12-31",47.7808147816063,24.7307770385684,10.3598206689246,11.9343894300052,31.7551667834618,1.97739044766625,2.81019150971825,7.59038439849595,4.13846113069522E-02,0.041199423000632,5.2149157143506E-03,0.749053,0.395542410823706,0.324466344291872,0.431807998917923,6.89761721752498,7.20127011007621,5.08894085787934,0.516156661216227,1064440494.27,2.5906960144786,0.502459523165501,0.582751709281633,0.538533317973109,-0.206180587093844,8.94787233453816E-03,0.0047,132.699198189477);</v>
      </c>
      <c r="C4" s="9" t="s">
        <v>307</v>
      </c>
      <c r="D4" s="1" t="s">
        <v>161</v>
      </c>
      <c r="E4" s="10" t="s">
        <v>160</v>
      </c>
      <c r="F4" s="1">
        <v>39</v>
      </c>
      <c r="G4" s="15" t="s">
        <v>155</v>
      </c>
      <c r="H4" s="15" t="s">
        <v>9</v>
      </c>
      <c r="I4" s="15" t="s">
        <v>3</v>
      </c>
      <c r="J4" s="15" t="s">
        <v>3</v>
      </c>
      <c r="K4" s="1" t="s">
        <v>17</v>
      </c>
      <c r="L4" s="1">
        <v>47.780814781606303</v>
      </c>
      <c r="M4" s="1">
        <v>24.730777038568402</v>
      </c>
      <c r="N4" s="1">
        <v>10.3598206689246</v>
      </c>
      <c r="O4" s="1">
        <v>11.934389430005201</v>
      </c>
      <c r="P4" s="1">
        <v>31.755166783461799</v>
      </c>
      <c r="Q4" s="1">
        <v>1.9773904476662501</v>
      </c>
      <c r="R4" s="1">
        <v>2.8101915097182499</v>
      </c>
      <c r="S4" s="1">
        <v>7.5903843984959503</v>
      </c>
      <c r="T4" s="1">
        <v>4.1384611306952201E-2</v>
      </c>
      <c r="U4" s="1">
        <v>4.1199423000632E-2</v>
      </c>
      <c r="V4" s="1">
        <v>5.2149157143506E-3</v>
      </c>
      <c r="W4" s="1">
        <v>0.74905299999999997</v>
      </c>
      <c r="X4" s="1">
        <v>0.395542410823706</v>
      </c>
      <c r="Y4" s="1">
        <v>0.32446634429187199</v>
      </c>
      <c r="Z4" s="1">
        <v>0.43180799891792299</v>
      </c>
      <c r="AA4" s="1">
        <v>6.8976172175249797</v>
      </c>
      <c r="AB4" s="1">
        <v>7.2012701100762104</v>
      </c>
      <c r="AC4" s="1">
        <v>5.08894085787934</v>
      </c>
      <c r="AD4" s="1">
        <v>0.51615666121622705</v>
      </c>
      <c r="AE4" s="1">
        <v>1064440494.27</v>
      </c>
      <c r="AF4" s="1">
        <v>2.5906960144786</v>
      </c>
      <c r="AG4" s="1">
        <v>0.50245952316550102</v>
      </c>
      <c r="AH4" s="1">
        <v>0.582751709281633</v>
      </c>
      <c r="AI4" s="1">
        <v>0.53853331797310899</v>
      </c>
      <c r="AJ4" s="1">
        <v>-0.20618058709384399</v>
      </c>
      <c r="AK4" s="1">
        <v>8.9478723345381601E-3</v>
      </c>
      <c r="AL4" s="1">
        <v>4.7000000000000002E-3</v>
      </c>
      <c r="AM4" s="1">
        <v>132.69919818947699</v>
      </c>
    </row>
    <row r="5" spans="1:39" x14ac:dyDescent="0.25">
      <c r="A5" s="1" t="str" cm="1">
        <f t="array" ref="A5">SQLupdate("FundamentalAnalysis", 1, "NULL", FundamentalAnalysis[[#This Row],[Ticker]], FundamentalAnalysis[[#This Row],[CompanyId]])</f>
        <v>UPDATE FundamentalAnalysis SET CompanyId = "59f6a403fd9d42e5ab1c9b323ca7f106" WHERE (Ticker = "ORP.PA");</v>
      </c>
      <c r="B5" s="1" t="str" cm="1">
        <f t="array" ref="B5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ORP.PA",40.4,"2020-12-31",16.3052608774977,17.0787708209387,14.2807796711259,19.0649770652973,33.4743273744818,0.746634407319879,3.3553955516696,12.2920799213615,4.57910126632982E-02,2.55312976649736E-02,9.43305815188069E-03,0.803136,0.368784992286864,0.3406034637274,0.195405305351677,3.85579490378068,11.2384996065402,9.31861069595265,0.425230158795222,10657235330.688,7.28053611960915E-02,0.254601266339393,0.384721942981222,0.384721942981222,0.249885843477486,8.78281843541059E-02,0.0163,41.0702505548844);</v>
      </c>
      <c r="C5" s="9" t="s">
        <v>308</v>
      </c>
      <c r="D5" s="1" t="s">
        <v>159</v>
      </c>
      <c r="E5" s="15" t="s">
        <v>158</v>
      </c>
      <c r="F5" s="1">
        <v>40.4</v>
      </c>
      <c r="G5" s="15" t="s">
        <v>155</v>
      </c>
      <c r="H5" s="15" t="s">
        <v>9</v>
      </c>
      <c r="I5" s="15" t="s">
        <v>3</v>
      </c>
      <c r="J5" s="15" t="s">
        <v>3</v>
      </c>
      <c r="K5" s="1" t="s">
        <v>17</v>
      </c>
      <c r="L5" s="1">
        <v>16.305260877497702</v>
      </c>
      <c r="M5" s="1">
        <v>17.078770820938701</v>
      </c>
      <c r="N5" s="1">
        <v>14.280779671125901</v>
      </c>
      <c r="O5" s="1">
        <v>19.064977065297299</v>
      </c>
      <c r="P5" s="1">
        <v>33.474327374481803</v>
      </c>
      <c r="Q5" s="1">
        <v>0.74663440731987896</v>
      </c>
      <c r="R5" s="1">
        <v>3.3553955516695999</v>
      </c>
      <c r="S5" s="1">
        <v>12.2920799213615</v>
      </c>
      <c r="T5" s="1">
        <v>4.57910126632982E-2</v>
      </c>
      <c r="U5" s="1">
        <v>2.5531297664973598E-2</v>
      </c>
      <c r="V5" s="1">
        <v>9.4330581518806897E-3</v>
      </c>
      <c r="W5" s="1">
        <v>0.80313599999999996</v>
      </c>
      <c r="X5" s="1">
        <v>0.36878499228686401</v>
      </c>
      <c r="Y5" s="1">
        <v>0.34060346372740002</v>
      </c>
      <c r="Z5" s="1">
        <v>0.19540530535167699</v>
      </c>
      <c r="AA5" s="1">
        <v>3.85579490378068</v>
      </c>
      <c r="AB5" s="1">
        <v>11.2384996065402</v>
      </c>
      <c r="AC5" s="1">
        <v>9.3186106959526498</v>
      </c>
      <c r="AD5" s="1">
        <v>0.42523015879522202</v>
      </c>
      <c r="AE5" s="1">
        <v>10657235330.688</v>
      </c>
      <c r="AF5" s="1">
        <v>7.2805361196091503E-2</v>
      </c>
      <c r="AG5" s="1">
        <v>0.25460126633939301</v>
      </c>
      <c r="AH5" s="1">
        <v>0.38472194298122198</v>
      </c>
      <c r="AI5" s="1">
        <v>0.38472194298122198</v>
      </c>
      <c r="AJ5" s="1">
        <v>0.24988584347748599</v>
      </c>
      <c r="AK5" s="1">
        <v>8.7828184354105901E-2</v>
      </c>
      <c r="AL5" s="1">
        <v>1.6299999999999999E-2</v>
      </c>
      <c r="AM5" s="1">
        <v>41.070250554884403</v>
      </c>
    </row>
    <row r="6" spans="1:39" x14ac:dyDescent="0.25">
      <c r="A6" s="1" t="str" cm="1">
        <f t="array" ref="A6">SQLupdate("FundamentalAnalysis", 1, "NULL", FundamentalAnalysis[[#This Row],[Ticker]], FundamentalAnalysis[[#This Row],[CompanyId]])</f>
        <v>UPDATE FundamentalAnalysis SET CompanyId = "7ee1302635724e59953dc411f782dc97" WHERE (Ticker = "KORI.PA");</v>
      </c>
      <c r="B6" s="1" t="str" cm="1">
        <f t="array" ref="B6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KORI.PA",19.85,"2021-12-31",21.7369698699048,24.2340863066804,9.4893243509048,11.7433706817701,28.0216401171556,0.587603661121694,6.52454550933724,13.7100049789314,2.70324550587542E-02,2.72805665071693E-02,6.61001181758874E-03,0.9371,0.550735257442129,0.590506507311077,0.23241913786,3.01216450478638,7.33737361266887,6.91971476713537,0.592513408635903,7890743661,0.750297438240133,0.325775186270903,0.203374028630897,0.351792543207184,-0.135395287894002,0.108701899159561,0.015,32.9228497716556);</v>
      </c>
      <c r="C6" s="9" t="s">
        <v>309</v>
      </c>
      <c r="D6" s="1" t="s">
        <v>157</v>
      </c>
      <c r="E6" s="15" t="s">
        <v>156</v>
      </c>
      <c r="F6" s="1">
        <v>19.850000000000001</v>
      </c>
      <c r="G6" s="15" t="s">
        <v>155</v>
      </c>
      <c r="H6" s="15" t="s">
        <v>9</v>
      </c>
      <c r="I6" s="15" t="s">
        <v>3</v>
      </c>
      <c r="J6" s="15" t="s">
        <v>3</v>
      </c>
      <c r="K6" s="1" t="s">
        <v>21</v>
      </c>
      <c r="L6" s="1">
        <v>21.736969869904801</v>
      </c>
      <c r="M6" s="1">
        <v>24.2340863066804</v>
      </c>
      <c r="N6" s="1">
        <v>9.4893243509048002</v>
      </c>
      <c r="O6" s="1">
        <v>11.7433706817701</v>
      </c>
      <c r="P6" s="1">
        <v>28.021640117155599</v>
      </c>
      <c r="Q6" s="1">
        <v>0.58760366112169404</v>
      </c>
      <c r="R6" s="1">
        <v>6.5245455093372398</v>
      </c>
      <c r="S6" s="1">
        <v>13.7100049789314</v>
      </c>
      <c r="T6" s="1">
        <v>2.70324550587542E-2</v>
      </c>
      <c r="U6" s="1">
        <v>2.7280566507169299E-2</v>
      </c>
      <c r="V6" s="1">
        <v>6.6100118175887396E-3</v>
      </c>
      <c r="W6" s="1">
        <v>0.93710000000000004</v>
      </c>
      <c r="X6" s="1">
        <v>0.55073525744212903</v>
      </c>
      <c r="Y6" s="1">
        <v>0.59050650731107701</v>
      </c>
      <c r="Z6" s="1">
        <v>0.23241913786000001</v>
      </c>
      <c r="AA6" s="1">
        <v>3.0121645047863801</v>
      </c>
      <c r="AB6" s="1">
        <v>7.3373736126688698</v>
      </c>
      <c r="AC6" s="1">
        <v>6.9197147671353703</v>
      </c>
      <c r="AD6" s="1">
        <v>0.59251340863590296</v>
      </c>
      <c r="AE6" s="1">
        <v>7890743661</v>
      </c>
      <c r="AF6" s="1">
        <v>0.75029743824013295</v>
      </c>
      <c r="AG6" s="1">
        <v>0.32577518627090302</v>
      </c>
      <c r="AH6" s="1">
        <v>0.20337402863089701</v>
      </c>
      <c r="AI6" s="1">
        <v>0.35179254320718401</v>
      </c>
      <c r="AJ6" s="1">
        <v>-0.13539528789400199</v>
      </c>
      <c r="AK6" s="1">
        <v>0.10870189915956099</v>
      </c>
      <c r="AL6" s="1">
        <v>1.4999999999999999E-2</v>
      </c>
      <c r="AM6" s="1">
        <v>32.922849771655599</v>
      </c>
    </row>
    <row r="7" spans="1:39" x14ac:dyDescent="0.25">
      <c r="A7" s="1" t="str" cm="1">
        <f t="array" ref="A7">SQLupdate("FundamentalAnalysis", 1, "NULL", FundamentalAnalysis[[#This Row],[Ticker]], FundamentalAnalysis[[#This Row],[CompanyId]])</f>
        <v>UPDATE FundamentalAnalysis SET CompanyId = "b80664869519496c992d89824fa03b97" WHERE (Ticker = "GDI.TO");</v>
      </c>
      <c r="B7" s="1" t="str" cm="1">
        <f t="array" ref="B7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GDI.TO",53.54,"2021-12-31",17.6306053268765,55.5892156296796,8.49788126171342,7.72006423810846,15.4865148050595,1.95523389629387,7.80504716403283,51.6335506118343,0.11089998670172,9.49460056254732E-02,3.99803440347096E-02,0.980855,4.72751876717043E-02,3.18029714687519E-02,0.514535126796707,1.77386274128707,2.42635240303675,2.41652097868644,8.00457321485427E-02,823967144,1.11556100869218,0.497931093626053,0.685713822929152,0.549077691743032,0.93348815606131,0.175059942747681,0,109.770240103136);</v>
      </c>
      <c r="C7" s="9" t="s">
        <v>310</v>
      </c>
      <c r="D7" s="1" t="s">
        <v>154</v>
      </c>
      <c r="E7" s="15" t="s">
        <v>153</v>
      </c>
      <c r="F7" s="1">
        <v>53.54</v>
      </c>
      <c r="G7" s="15" t="s">
        <v>50</v>
      </c>
      <c r="H7" s="15" t="s">
        <v>35</v>
      </c>
      <c r="I7" s="15" t="s">
        <v>1</v>
      </c>
      <c r="J7" s="15" t="s">
        <v>1</v>
      </c>
      <c r="K7" s="1" t="s">
        <v>21</v>
      </c>
      <c r="L7" s="1">
        <v>17.630605326876498</v>
      </c>
      <c r="M7" s="1">
        <v>55.5892156296796</v>
      </c>
      <c r="N7" s="1">
        <v>8.4978812617134203</v>
      </c>
      <c r="O7" s="1">
        <v>7.7200642381084599</v>
      </c>
      <c r="P7" s="1">
        <v>15.4865148050595</v>
      </c>
      <c r="Q7" s="1">
        <v>1.95523389629387</v>
      </c>
      <c r="R7" s="1">
        <v>7.8050471640328301</v>
      </c>
      <c r="S7" s="1">
        <v>51.633550611834302</v>
      </c>
      <c r="T7" s="1">
        <v>0.11089998670171999</v>
      </c>
      <c r="U7" s="1">
        <v>9.4946005625473201E-2</v>
      </c>
      <c r="V7" s="1">
        <v>3.9980344034709597E-2</v>
      </c>
      <c r="W7" s="1">
        <v>0.98085500000000003</v>
      </c>
      <c r="X7" s="1">
        <v>4.72751876717043E-2</v>
      </c>
      <c r="Y7" s="1">
        <v>3.1802971468751898E-2</v>
      </c>
      <c r="Z7" s="1">
        <v>0.51453512679670699</v>
      </c>
      <c r="AA7" s="1">
        <v>1.77386274128707</v>
      </c>
      <c r="AB7" s="1">
        <v>2.4263524030367498</v>
      </c>
      <c r="AC7" s="1">
        <v>2.4165209786864401</v>
      </c>
      <c r="AD7" s="1">
        <v>8.00457321485427E-2</v>
      </c>
      <c r="AE7" s="1">
        <v>823967144</v>
      </c>
      <c r="AF7" s="1">
        <v>1.1155610086921799</v>
      </c>
      <c r="AG7" s="1">
        <v>0.49793109362605298</v>
      </c>
      <c r="AH7" s="1">
        <v>0.68571382292915195</v>
      </c>
      <c r="AI7" s="1">
        <v>0.549077691743032</v>
      </c>
      <c r="AJ7" s="1">
        <v>0.93348815606130997</v>
      </c>
      <c r="AK7" s="1">
        <v>0.175059942747681</v>
      </c>
      <c r="AL7" s="1">
        <v>0</v>
      </c>
      <c r="AM7" s="1">
        <v>109.770240103136</v>
      </c>
    </row>
    <row r="8" spans="1:39" x14ac:dyDescent="0.25">
      <c r="A8" s="1" t="str" cm="1">
        <f t="array" ref="A8">SQLupdate("FundamentalAnalysis", 1, "NULL", FundamentalAnalysis[[#This Row],[Ticker]], FundamentalAnalysis[[#This Row],[CompanyId]])</f>
        <v>UPDATE FundamentalAnalysis SET CompanyId = "4f5e64f1324444feb1078ba8451b8ed9" WHERE (Ticker = "LMT");</v>
      </c>
      <c r="B8" s="1" t="str" cm="1">
        <f t="array" ref="B8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LMT",340,,13.722903556271,23.5485660903233,10.1599051008304,11.5538006026622,11.6448674371176,21.8100728815403,14.6125292192613,24.7033427592526,1.13599334995844,0.239986948364467,0.134746598304082,0.93,0.163071524409124,11.457993400776,0.311895594555874,7.42676641729011,0.890569395017794,1.35923589759979,14.9340101522843,,340.070962325778,0.145087842586086,0.138158143045858,0.143514515132798,0.783066933066933,-3.19575402635432,,);</v>
      </c>
      <c r="C8" s="9" t="s">
        <v>311</v>
      </c>
      <c r="D8" s="1" t="s">
        <v>5</v>
      </c>
      <c r="E8" s="15" t="s">
        <v>152</v>
      </c>
      <c r="F8" s="1">
        <v>340</v>
      </c>
      <c r="G8" s="15" t="s">
        <v>151</v>
      </c>
      <c r="H8" s="15"/>
      <c r="I8" s="15" t="s">
        <v>12</v>
      </c>
      <c r="J8" s="15"/>
      <c r="L8" s="1">
        <v>13.722903556271</v>
      </c>
      <c r="M8" s="1">
        <v>23.548566090323298</v>
      </c>
      <c r="N8" s="1">
        <v>10.1599051008304</v>
      </c>
      <c r="O8" s="1">
        <v>11.5538006026622</v>
      </c>
      <c r="P8" s="1">
        <v>11.6448674371176</v>
      </c>
      <c r="Q8" s="1">
        <v>21.8100728815403</v>
      </c>
      <c r="R8" s="1">
        <v>14.612529219261299</v>
      </c>
      <c r="S8" s="1">
        <v>24.7033427592526</v>
      </c>
      <c r="T8" s="1">
        <v>1.13599334995844</v>
      </c>
      <c r="U8" s="1">
        <v>0.23998694836446699</v>
      </c>
      <c r="V8" s="1">
        <v>0.134746598304082</v>
      </c>
      <c r="W8" s="1">
        <v>0.93</v>
      </c>
      <c r="X8" s="1">
        <v>0.16307152440912401</v>
      </c>
      <c r="Y8" s="1">
        <v>11.457993400775999</v>
      </c>
      <c r="Z8" s="1">
        <v>0.31189559455587401</v>
      </c>
      <c r="AA8" s="1">
        <v>7.4267664172901098</v>
      </c>
      <c r="AB8" s="1">
        <v>0.89056939501779397</v>
      </c>
      <c r="AC8" s="1">
        <v>1.35923589759979</v>
      </c>
      <c r="AD8" s="1">
        <v>14.9340101522843</v>
      </c>
      <c r="AF8" s="1">
        <v>340.070962325778</v>
      </c>
      <c r="AG8" s="1">
        <v>0.14508784258608601</v>
      </c>
      <c r="AH8" s="1">
        <v>0.138158143045858</v>
      </c>
      <c r="AI8" s="1">
        <v>0.143514515132798</v>
      </c>
      <c r="AJ8" s="1">
        <v>0.78306693306693298</v>
      </c>
      <c r="AK8" s="1">
        <v>-3.19575402635432</v>
      </c>
    </row>
    <row r="9" spans="1:39" x14ac:dyDescent="0.25">
      <c r="A9" s="1" t="str" cm="1">
        <f t="array" ref="A9">SQLupdate("FundamentalAnalysis", 1, "NULL", FundamentalAnalysis[[#This Row],[Ticker]], FundamentalAnalysis[[#This Row],[CompanyId]])</f>
        <v>UPDATE FundamentalAnalysis SET CompanyId = "c20ae476919c405fbb7ee270bd6adced" WHERE (Ticker = "ECONB.BR");</v>
      </c>
      <c r="B9" s="1" t="str" cm="1">
        <f t="array" ref="B9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ECONB.BR",3.69,"2021-12-31",10.3560558705344,13.0184641059297,5.319023222142,5.2384832536726,6.60703781405082,1.75776537838818,15.2090058188341,26.3163436356672,0.169733091474475,0.142416178818521,2.80070124428101E-02,1.480277,0.271565281402663,0.598241253695416,0.738597972972973,4.90904379372895,1.23766546329723,1.29432991258826,0.182361733931241,769098843.7824,0.481034945962264,-2.42044861763173E-02,-0.431991951710262,-0.62427536231884,-3.98148148148148E-02,5.2258403361344E-03,0.0339,5.03601496297859);</v>
      </c>
      <c r="C9" s="9" t="s">
        <v>312</v>
      </c>
      <c r="D9" s="1" t="s">
        <v>150</v>
      </c>
      <c r="E9" s="15" t="s">
        <v>149</v>
      </c>
      <c r="F9" s="1">
        <v>3.69</v>
      </c>
      <c r="G9" s="15" t="s">
        <v>73</v>
      </c>
      <c r="H9" s="15" t="s">
        <v>9</v>
      </c>
      <c r="I9" s="15" t="s">
        <v>3</v>
      </c>
      <c r="J9" s="15" t="s">
        <v>3</v>
      </c>
      <c r="K9" s="1" t="s">
        <v>21</v>
      </c>
      <c r="L9" s="1">
        <v>10.3560558705344</v>
      </c>
      <c r="M9" s="1">
        <v>13.0184641059297</v>
      </c>
      <c r="N9" s="1">
        <v>5.3190232221420004</v>
      </c>
      <c r="O9" s="1">
        <v>5.2384832536725998</v>
      </c>
      <c r="P9" s="1">
        <v>6.6070378140508197</v>
      </c>
      <c r="Q9" s="1">
        <v>1.7577653783881799</v>
      </c>
      <c r="R9" s="1">
        <v>15.2090058188341</v>
      </c>
      <c r="S9" s="1">
        <v>26.316343635667199</v>
      </c>
      <c r="T9" s="1">
        <v>0.16973309147447499</v>
      </c>
      <c r="U9" s="1">
        <v>0.14241617881852101</v>
      </c>
      <c r="V9" s="1">
        <v>2.8007012442810099E-2</v>
      </c>
      <c r="W9" s="1">
        <v>1.4802770000000001</v>
      </c>
      <c r="X9" s="1">
        <v>0.27156528140266301</v>
      </c>
      <c r="Y9" s="1">
        <v>0.59824125369541603</v>
      </c>
      <c r="Z9" s="1">
        <v>0.73859797297297303</v>
      </c>
      <c r="AA9" s="1">
        <v>4.9090437937289497</v>
      </c>
      <c r="AB9" s="1">
        <v>1.2376654632972299</v>
      </c>
      <c r="AC9" s="1">
        <v>1.2943299125882599</v>
      </c>
      <c r="AD9" s="1">
        <v>0.182361733931241</v>
      </c>
      <c r="AE9" s="1">
        <v>769098843.78240001</v>
      </c>
      <c r="AF9" s="1">
        <v>0.48103494596226398</v>
      </c>
      <c r="AG9" s="1">
        <v>-2.4204486176317298E-2</v>
      </c>
      <c r="AH9" s="1">
        <v>-0.431991951710262</v>
      </c>
      <c r="AI9" s="1">
        <v>-0.62427536231883995</v>
      </c>
      <c r="AJ9" s="1">
        <v>-3.9814814814814803E-2</v>
      </c>
      <c r="AK9" s="1">
        <v>5.2258403361343997E-3</v>
      </c>
      <c r="AL9" s="1">
        <v>3.39E-2</v>
      </c>
      <c r="AM9" s="1">
        <v>5.03601496297859</v>
      </c>
    </row>
    <row r="10" spans="1:39" x14ac:dyDescent="0.25">
      <c r="A10" s="1" t="str" cm="1">
        <f t="array" ref="A10">SQLupdate("FundamentalAnalysis", 1, "NULL", FundamentalAnalysis[[#This Row],[Ticker]], FundamentalAnalysis[[#This Row],[CompanyId]])</f>
        <v>UPDATE FundamentalAnalysis SET CompanyId = "1c6f25d2a22c42b3af5cc483a2178a92" WHERE (Ticker = "4095.T");</v>
      </c>
      <c r="B10" s="1" t="str" cm="1">
        <f t="array" ref="B10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4095.T",997,"2021-03-31",11.7281859185919,11.0702181145859,2.69033974691422,4.4920085812897,3.14566314959675,0.774070489379398,10.3742154104742,16.7579258946106,0.066000871298631,8.76099706744868E-02,4.54066572816857E-02,0.559168,0.580104192075827,0.567825749252382,0.734383611978688,0.287422936276386,-3.39150503059849,-2.68645668802822,1.75853495846219E-03,456501152.8,0.516930899191138,-7.96500744928756E-02,2.95470949115842E-02,-3.70724607547563E-02,-5.39973272541468E-02,2.69871558572036E-02,0.026099999,1467.00870329876);</v>
      </c>
      <c r="C10" s="9" t="s">
        <v>313</v>
      </c>
      <c r="D10" s="1" t="s">
        <v>148</v>
      </c>
      <c r="E10" s="15" t="s">
        <v>147</v>
      </c>
      <c r="F10" s="1">
        <v>997</v>
      </c>
      <c r="G10" s="15" t="s">
        <v>146</v>
      </c>
      <c r="H10" s="15" t="s">
        <v>145</v>
      </c>
      <c r="I10" s="15" t="s">
        <v>144</v>
      </c>
      <c r="J10" s="15" t="s">
        <v>144</v>
      </c>
      <c r="K10" s="1" t="s">
        <v>28</v>
      </c>
      <c r="L10" s="1">
        <v>11.728185918591899</v>
      </c>
      <c r="M10" s="1">
        <v>11.0702181145859</v>
      </c>
      <c r="N10" s="1">
        <v>2.6903397469142201</v>
      </c>
      <c r="O10" s="1">
        <v>4.4920085812897002</v>
      </c>
      <c r="P10" s="1">
        <v>3.14566314959675</v>
      </c>
      <c r="Q10" s="1">
        <v>0.77407048937939804</v>
      </c>
      <c r="R10" s="1">
        <v>10.3742154104742</v>
      </c>
      <c r="S10" s="1">
        <v>16.757925894610601</v>
      </c>
      <c r="T10" s="1">
        <v>6.6000871298630998E-2</v>
      </c>
      <c r="U10" s="1">
        <v>8.7609970674486795E-2</v>
      </c>
      <c r="V10" s="1">
        <v>4.5406657281685699E-2</v>
      </c>
      <c r="W10" s="1">
        <v>0.559168</v>
      </c>
      <c r="X10" s="1">
        <v>0.58010419207582697</v>
      </c>
      <c r="Y10" s="1">
        <v>0.56782574925238205</v>
      </c>
      <c r="Z10" s="1">
        <v>0.73438361197868796</v>
      </c>
      <c r="AA10" s="1">
        <v>0.28742293627638599</v>
      </c>
      <c r="AB10" s="1">
        <v>-3.39150503059849</v>
      </c>
      <c r="AC10" s="1">
        <v>-2.6864566880282199</v>
      </c>
      <c r="AD10" s="1">
        <v>1.75853495846219E-3</v>
      </c>
      <c r="AE10" s="1">
        <v>456501152.80000001</v>
      </c>
      <c r="AF10" s="1">
        <v>0.51693089919113799</v>
      </c>
      <c r="AG10" s="1">
        <v>-7.9650074492875603E-2</v>
      </c>
      <c r="AH10" s="1">
        <v>2.95470949115842E-2</v>
      </c>
      <c r="AI10" s="1">
        <v>-3.7072460754756301E-2</v>
      </c>
      <c r="AJ10" s="1">
        <v>-5.3997327254146799E-2</v>
      </c>
      <c r="AK10" s="1">
        <v>2.6987155857203599E-2</v>
      </c>
      <c r="AL10" s="1">
        <v>2.6099998999999999E-2</v>
      </c>
      <c r="AM10" s="1">
        <v>1467.0087032987601</v>
      </c>
    </row>
    <row r="11" spans="1:39" x14ac:dyDescent="0.25">
      <c r="A11" s="1" t="str" cm="1">
        <f t="array" ref="A11">SQLupdate("FundamentalAnalysis", 1, "NULL", FundamentalAnalysis[[#This Row],[Ticker]], FundamentalAnalysis[[#This Row],[CompanyId]])</f>
        <v>UPDATE FundamentalAnalysis SET CompanyId = "8a4f7a0b1caf4f58ac13d517673a5262" WHERE (Ticker = "BABA");</v>
      </c>
      <c r="B11" s="1" t="str" cm="1">
        <f t="array" ref="B11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BABA",578.066666666667,"2021-03-31",12.4558363212251,15.0170841175543,9.34321486980325,18.2220275843868,10.1894207731075,1.65717749385559,15.3313285552915,26.5265462571548,0.133044257416237,0.105681489267706,7.37922563834961E-02,0.881397,0.499350285998508,0.206791628555859,0.613333940125834,0.656295134777646,-0.924076901216699,-0.680575842433573,3.44949367544776E-02,212059677774.72,0.171035424141512,0.096199367729276,0.104120207688677,0.105790478625241,0.287014182516031,0.434230035372394,0,697.244640507532);</v>
      </c>
      <c r="C11" s="9" t="s">
        <v>314</v>
      </c>
      <c r="D11" s="1" t="s">
        <v>143</v>
      </c>
      <c r="E11" s="15" t="s">
        <v>142</v>
      </c>
      <c r="F11" s="1">
        <v>578.06666666666695</v>
      </c>
      <c r="G11" s="15" t="s">
        <v>31</v>
      </c>
      <c r="H11" s="15" t="s">
        <v>30</v>
      </c>
      <c r="I11" s="15" t="s">
        <v>12</v>
      </c>
      <c r="J11" s="15" t="s">
        <v>0</v>
      </c>
      <c r="K11" s="1" t="s">
        <v>28</v>
      </c>
      <c r="L11" s="1">
        <v>12.4558363212251</v>
      </c>
      <c r="M11" s="1">
        <v>15.017084117554299</v>
      </c>
      <c r="N11" s="1">
        <v>9.3432148698032496</v>
      </c>
      <c r="O11" s="1">
        <v>18.222027584386801</v>
      </c>
      <c r="P11" s="1">
        <v>10.1894207731075</v>
      </c>
      <c r="Q11" s="1">
        <v>1.6571774938555901</v>
      </c>
      <c r="R11" s="1">
        <v>15.331328555291501</v>
      </c>
      <c r="S11" s="1">
        <v>26.526546257154799</v>
      </c>
      <c r="T11" s="1">
        <v>0.13304425741623699</v>
      </c>
      <c r="U11" s="1">
        <v>0.105681489267706</v>
      </c>
      <c r="V11" s="1">
        <v>7.3792256383496097E-2</v>
      </c>
      <c r="W11" s="1">
        <v>0.88139699999999999</v>
      </c>
      <c r="X11" s="1">
        <v>0.499350285998508</v>
      </c>
      <c r="Y11" s="1">
        <v>0.206791628555859</v>
      </c>
      <c r="Z11" s="1">
        <v>0.61333394012583398</v>
      </c>
      <c r="AA11" s="1">
        <v>0.65629513477764601</v>
      </c>
      <c r="AB11" s="1">
        <v>-0.92407690121669905</v>
      </c>
      <c r="AC11" s="1">
        <v>-0.68057584243357305</v>
      </c>
      <c r="AD11" s="1">
        <v>3.4494936754477602E-2</v>
      </c>
      <c r="AE11" s="1">
        <v>212059677774.72</v>
      </c>
      <c r="AF11" s="1">
        <v>0.17103542414151199</v>
      </c>
      <c r="AG11" s="1">
        <v>9.6199367729275995E-2</v>
      </c>
      <c r="AH11" s="1">
        <v>0.104120207688677</v>
      </c>
      <c r="AI11" s="1">
        <v>0.10579047862524101</v>
      </c>
      <c r="AJ11" s="1">
        <v>0.287014182516031</v>
      </c>
      <c r="AK11" s="1">
        <v>0.43423003537239402</v>
      </c>
      <c r="AL11" s="1">
        <v>0</v>
      </c>
      <c r="AM11" s="1">
        <v>697.24464050753204</v>
      </c>
    </row>
    <row r="12" spans="1:39" x14ac:dyDescent="0.25">
      <c r="A12" s="1" t="str" cm="1">
        <f t="array" ref="A12">SQLupdate("FundamentalAnalysis", 1, "NULL", FundamentalAnalysis[[#This Row],[Ticker]], FundamentalAnalysis[[#This Row],[CompanyId]])</f>
        <v>UPDATE FundamentalAnalysis SET CompanyId = "c2a5ef1ff8a0400881864e526eba1a72" WHERE (Ticker = "ORA.PA");</v>
      </c>
      <c r="B12" s="1" t="str" cm="1">
        <f t="array" ref="B12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ORA.PA",11,"2021-12-31",125.487202098712,34.3149185914123,4.90091228482854,5.05895053779903,23.8190171462054,0.904069697566556,15.6859002623391,15.399367693713,7.20447728889026E-03,3.32693854817749E-02,2.15599004358246E-03,0.219603,0.333720435102388,0.294850784631365,0.375134094347408,2.24822980118116,2.66281383955909,2.46207104411644,0.353422619047619,55702200737.43,0.521098088259959,3.66744496330886E-02,2.72383830751794E-02,1.82327501474346E-02,-2.50786988457504E-02,2.43768039884543E-02,0.0637,16.2301166017338);</v>
      </c>
      <c r="C12" s="9" t="s">
        <v>315</v>
      </c>
      <c r="D12" s="1" t="s">
        <v>141</v>
      </c>
      <c r="E12" s="15" t="s">
        <v>140</v>
      </c>
      <c r="F12" s="1">
        <v>11</v>
      </c>
      <c r="G12" s="15" t="s">
        <v>109</v>
      </c>
      <c r="H12" s="15" t="s">
        <v>9</v>
      </c>
      <c r="I12" s="15" t="s">
        <v>3</v>
      </c>
      <c r="J12" s="15" t="s">
        <v>3</v>
      </c>
      <c r="K12" s="1" t="s">
        <v>21</v>
      </c>
      <c r="L12" s="1">
        <v>125.487202098712</v>
      </c>
      <c r="M12" s="1">
        <v>34.314918591412301</v>
      </c>
      <c r="N12" s="1">
        <v>4.9009122848285402</v>
      </c>
      <c r="O12" s="1">
        <v>5.0589505377990296</v>
      </c>
      <c r="P12" s="1">
        <v>23.8190171462054</v>
      </c>
      <c r="Q12" s="1">
        <v>0.90406969756655597</v>
      </c>
      <c r="R12" s="1">
        <v>15.6859002623391</v>
      </c>
      <c r="S12" s="1">
        <v>15.399367693713</v>
      </c>
      <c r="T12" s="1">
        <v>7.2044772888902597E-3</v>
      </c>
      <c r="U12" s="1">
        <v>3.3269385481774903E-2</v>
      </c>
      <c r="V12" s="1">
        <v>2.1559900435824601E-3</v>
      </c>
      <c r="W12" s="1">
        <v>0.21960299999999999</v>
      </c>
      <c r="X12" s="1">
        <v>0.33372043510238802</v>
      </c>
      <c r="Y12" s="1">
        <v>0.29485078463136499</v>
      </c>
      <c r="Z12" s="1">
        <v>0.37513409434740802</v>
      </c>
      <c r="AA12" s="1">
        <v>2.2482298011811599</v>
      </c>
      <c r="AB12" s="1">
        <v>2.6628138395590901</v>
      </c>
      <c r="AC12" s="1">
        <v>2.4620710441164402</v>
      </c>
      <c r="AD12" s="1">
        <v>0.35342261904761901</v>
      </c>
      <c r="AE12" s="1">
        <v>55702200737.43</v>
      </c>
      <c r="AF12" s="1">
        <v>0.52109808825995896</v>
      </c>
      <c r="AG12" s="1">
        <v>3.66744496330886E-2</v>
      </c>
      <c r="AH12" s="1">
        <v>2.7238383075179399E-2</v>
      </c>
      <c r="AI12" s="1">
        <v>1.8232750147434602E-2</v>
      </c>
      <c r="AJ12" s="1">
        <v>-2.50786988457504E-2</v>
      </c>
      <c r="AK12" s="1">
        <v>2.43768039884543E-2</v>
      </c>
      <c r="AL12" s="1">
        <v>6.3700000000000007E-2</v>
      </c>
      <c r="AM12" s="1">
        <v>16.230116601733801</v>
      </c>
    </row>
    <row r="13" spans="1:39" x14ac:dyDescent="0.25">
      <c r="A13" s="1" t="str" cm="1">
        <f t="array" ref="A13">SQLupdate("FundamentalAnalysis", 1, "NULL", FundamentalAnalysis[[#This Row],[Ticker]], FundamentalAnalysis[[#This Row],[CompanyId]])</f>
        <v>UPDATE FundamentalAnalysis SET CompanyId = "c87370c4b05342eeb240e4ca5c651495" WHERE (Ticker = "TEF.MC");</v>
      </c>
      <c r="B13" s="1" t="str" cm="1">
        <f t="array" ref="B13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TEF.MC",4.1065,"2021-12-31",2.91651231339929,9.82813756750649,5.53326290581353,5.30292359084036,4.48365507994973,1.06865676111722,5.78256839525585,6.52639756639308,0.366415994956545,0.168697293294154,7.45057822786665E-02,0.840085,0.344177463997754,0.36154233412423,0.316594022029331,3.62628900797046,3.45954211814051,3.0721309954745,0.143595553352687,55090714803.8931,0.900712509475768,-8.03210741389377E-02,-1.29059117402182E-03,0,0.263761174968071,2.28250591016547E-02,0.0867,7.18085384654926);</v>
      </c>
      <c r="C13" s="9" t="s">
        <v>316</v>
      </c>
      <c r="D13" s="1" t="s">
        <v>139</v>
      </c>
      <c r="E13" s="15" t="s">
        <v>138</v>
      </c>
      <c r="F13" s="1">
        <v>4.1064999999999996</v>
      </c>
      <c r="G13" s="15" t="s">
        <v>109</v>
      </c>
      <c r="H13" s="15" t="s">
        <v>25</v>
      </c>
      <c r="I13" s="15" t="s">
        <v>3</v>
      </c>
      <c r="J13" s="15" t="s">
        <v>3</v>
      </c>
      <c r="K13" s="1" t="s">
        <v>21</v>
      </c>
      <c r="L13" s="1">
        <v>2.9165123133992901</v>
      </c>
      <c r="M13" s="1">
        <v>9.8281375675064897</v>
      </c>
      <c r="N13" s="1">
        <v>5.5332629058135296</v>
      </c>
      <c r="O13" s="1">
        <v>5.3029235908403596</v>
      </c>
      <c r="P13" s="1">
        <v>4.4836550799497301</v>
      </c>
      <c r="Q13" s="1">
        <v>1.06865676111722</v>
      </c>
      <c r="R13" s="1">
        <v>5.7825683952558498</v>
      </c>
      <c r="S13" s="1">
        <v>6.5263975663930802</v>
      </c>
      <c r="T13" s="1">
        <v>0.36641599495654498</v>
      </c>
      <c r="U13" s="1">
        <v>0.168697293294154</v>
      </c>
      <c r="V13" s="1">
        <v>7.4505782278666499E-2</v>
      </c>
      <c r="W13" s="1">
        <v>0.84008499999999997</v>
      </c>
      <c r="X13" s="1">
        <v>0.34417746399775401</v>
      </c>
      <c r="Y13" s="1">
        <v>0.36154233412422998</v>
      </c>
      <c r="Z13" s="1">
        <v>0.31659402202933101</v>
      </c>
      <c r="AA13" s="1">
        <v>3.6262890079704602</v>
      </c>
      <c r="AB13" s="1">
        <v>3.4595421181405102</v>
      </c>
      <c r="AC13" s="1">
        <v>3.0721309954745002</v>
      </c>
      <c r="AD13" s="1">
        <v>0.14359555335268701</v>
      </c>
      <c r="AE13" s="1">
        <v>55090714803.893097</v>
      </c>
      <c r="AF13" s="1">
        <v>0.90071250947576798</v>
      </c>
      <c r="AG13" s="1">
        <v>-8.0321074138937701E-2</v>
      </c>
      <c r="AH13" s="1">
        <v>-1.29059117402182E-3</v>
      </c>
      <c r="AI13" s="1">
        <v>0</v>
      </c>
      <c r="AJ13" s="1">
        <v>0.263761174968071</v>
      </c>
      <c r="AK13" s="1">
        <v>2.28250591016547E-2</v>
      </c>
      <c r="AL13" s="1">
        <v>8.6699999999999999E-2</v>
      </c>
      <c r="AM13" s="1">
        <v>7.18085384654926</v>
      </c>
    </row>
    <row r="14" spans="1:39" x14ac:dyDescent="0.25">
      <c r="A14" s="1" t="str" cm="1">
        <f t="array" ref="A14">SQLupdate("FundamentalAnalysis", 1, "NULL", FundamentalAnalysis[[#This Row],[Ticker]], FundamentalAnalysis[[#This Row],[CompanyId]])</f>
        <v>UPDATE FundamentalAnalysis SET CompanyId = "c668f1f34b084198b566b6ad619b6781" WHERE (Ticker = "0762.HK");</v>
      </c>
      <c r="B14" s="1" t="str" cm="1">
        <f t="array" ref="B14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0762.HK",3.456,"2020-12-31",8.46450954425038,21.5042074934911,1.25243667378927,2.41885740359317,7.27377502898804,0.323794632781832,2.0505549299267,6.33033963359201,3.82532066493767E-02,4.91901569489219E-02,2.15168028438762E-02,0.988752,0.21249861924224,0.218303822309014,0.877248158801404,0.77497267190672,0.22017336639269,0.239369714920149,9.13884007029877E-02,19245317660.448,2.77141369551967,3.87311269411904E-02,0.344981964778273,7.38142826909963E-02,1.81225382932166,2.42512744614372E-02,0.0791,13.8277766807775);</v>
      </c>
      <c r="C14" s="9" t="s">
        <v>317</v>
      </c>
      <c r="D14" s="1" t="s">
        <v>137</v>
      </c>
      <c r="E14" s="15" t="s">
        <v>136</v>
      </c>
      <c r="F14" s="1">
        <v>3.456</v>
      </c>
      <c r="G14" s="15" t="s">
        <v>109</v>
      </c>
      <c r="H14" s="15" t="s">
        <v>135</v>
      </c>
      <c r="I14" s="15" t="s">
        <v>29</v>
      </c>
      <c r="J14" s="15" t="s">
        <v>0</v>
      </c>
      <c r="K14" s="1" t="s">
        <v>17</v>
      </c>
      <c r="L14" s="1">
        <v>8.4645095442503795</v>
      </c>
      <c r="M14" s="1">
        <v>21.504207493491101</v>
      </c>
      <c r="N14" s="1">
        <v>1.25243667378927</v>
      </c>
      <c r="O14" s="1">
        <v>2.41885740359317</v>
      </c>
      <c r="P14" s="1">
        <v>7.2737750289880401</v>
      </c>
      <c r="Q14" s="1">
        <v>0.32379463278183201</v>
      </c>
      <c r="R14" s="1">
        <v>2.0505549299267001</v>
      </c>
      <c r="S14" s="1">
        <v>6.3303396335920104</v>
      </c>
      <c r="T14" s="1">
        <v>3.8253206649376703E-2</v>
      </c>
      <c r="U14" s="1">
        <v>4.9190156948921898E-2</v>
      </c>
      <c r="V14" s="1">
        <v>2.15168028438762E-2</v>
      </c>
      <c r="W14" s="1">
        <v>0.98875199999999996</v>
      </c>
      <c r="X14" s="1">
        <v>0.21249861924224001</v>
      </c>
      <c r="Y14" s="1">
        <v>0.21830382230901399</v>
      </c>
      <c r="Z14" s="1">
        <v>0.87724815880140405</v>
      </c>
      <c r="AA14" s="1">
        <v>0.77497267190672003</v>
      </c>
      <c r="AB14" s="1">
        <v>0.22017336639269</v>
      </c>
      <c r="AC14" s="1">
        <v>0.239369714920149</v>
      </c>
      <c r="AD14" s="1">
        <v>9.1388400702987704E-2</v>
      </c>
      <c r="AE14" s="1">
        <v>19245317660.448002</v>
      </c>
      <c r="AF14" s="1">
        <v>2.7714136955196702</v>
      </c>
      <c r="AG14" s="1">
        <v>3.8731126941190401E-2</v>
      </c>
      <c r="AH14" s="1">
        <v>0.34498196477827298</v>
      </c>
      <c r="AI14" s="1">
        <v>7.3814282690996297E-2</v>
      </c>
      <c r="AJ14" s="1">
        <v>1.8122538293216599</v>
      </c>
      <c r="AK14" s="1">
        <v>2.4251274461437201E-2</v>
      </c>
      <c r="AL14" s="1">
        <v>7.9100000000000004E-2</v>
      </c>
      <c r="AM14" s="1">
        <v>13.8277766807775</v>
      </c>
    </row>
    <row r="15" spans="1:39" x14ac:dyDescent="0.25">
      <c r="A15" s="1" t="str" cm="1">
        <f t="array" ref="A15">SQLupdate("FundamentalAnalysis", 1, "NULL", FundamentalAnalysis[[#This Row],[Ticker]], FundamentalAnalysis[[#This Row],[CompanyId]])</f>
        <v>UPDATE FundamentalAnalysis SET CompanyId = "d3536046bf00437cb1169f5e05b9eb47" WHERE (Ticker = "SFM");</v>
      </c>
      <c r="B15" s="1" t="str" cm="1">
        <f t="array" ref="B15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SFM",31.96,"2021-12-31",14.517526673411,19.0534338911398,8.40144267382913,8.126352844794,14.4152736933004,3.69272255999733,13.5071345662123,15.0924779359634,0.254363063562377,0.138407282077587,8.35263066967943E-02,0.296259,0.432059339528919,6.92010555365054E-02,0.261543805924801,2.04530481020465,2.20729829810063,2.25174101043967,3.33421286190602E-02,4807666760,0.379747340762777,0.235947807064841,0.502714907655283,0.100178636611784,0.189565766220651,0.13992152993573,0,44.0570379582687);</v>
      </c>
      <c r="C15" s="9" t="s">
        <v>318</v>
      </c>
      <c r="D15" s="1" t="s">
        <v>134</v>
      </c>
      <c r="E15" s="15" t="s">
        <v>133</v>
      </c>
      <c r="F15" s="1">
        <v>31.96</v>
      </c>
      <c r="G15" s="15" t="s">
        <v>132</v>
      </c>
      <c r="H15" s="15" t="s">
        <v>13</v>
      </c>
      <c r="I15" s="15" t="s">
        <v>12</v>
      </c>
      <c r="J15" s="15" t="s">
        <v>12</v>
      </c>
      <c r="K15" s="1" t="s">
        <v>21</v>
      </c>
      <c r="L15" s="1">
        <v>14.517526673411</v>
      </c>
      <c r="M15" s="1">
        <v>19.0534338911398</v>
      </c>
      <c r="N15" s="1">
        <v>8.4014426738291306</v>
      </c>
      <c r="O15" s="1">
        <v>8.1263528447940008</v>
      </c>
      <c r="P15" s="1">
        <v>14.415273693300399</v>
      </c>
      <c r="Q15" s="1">
        <v>3.6927225599973301</v>
      </c>
      <c r="R15" s="1">
        <v>13.507134566212301</v>
      </c>
      <c r="S15" s="1">
        <v>15.0924779359634</v>
      </c>
      <c r="T15" s="1">
        <v>0.25436306356237698</v>
      </c>
      <c r="U15" s="1">
        <v>0.13840728207758701</v>
      </c>
      <c r="V15" s="1">
        <v>8.3526306696794297E-2</v>
      </c>
      <c r="W15" s="1">
        <v>0.29625899999999999</v>
      </c>
      <c r="X15" s="1">
        <v>0.43205933952891901</v>
      </c>
      <c r="Y15" s="1">
        <v>6.9201055536505393E-2</v>
      </c>
      <c r="Z15" s="1">
        <v>0.26154380592480098</v>
      </c>
      <c r="AA15" s="1">
        <v>2.0453048102046498</v>
      </c>
      <c r="AB15" s="1">
        <v>2.2072982981006302</v>
      </c>
      <c r="AC15" s="1">
        <v>2.25174101043967</v>
      </c>
      <c r="AD15" s="1">
        <v>3.3342128619060198E-2</v>
      </c>
      <c r="AE15" s="1">
        <v>4807666760</v>
      </c>
      <c r="AF15" s="1">
        <v>0.379747340762777</v>
      </c>
      <c r="AG15" s="1">
        <v>0.235947807064841</v>
      </c>
      <c r="AH15" s="1">
        <v>0.50271490765528304</v>
      </c>
      <c r="AI15" s="1">
        <v>0.100178636611784</v>
      </c>
      <c r="AJ15" s="1">
        <v>0.18956576622065099</v>
      </c>
      <c r="AK15" s="1">
        <v>0.13992152993573001</v>
      </c>
      <c r="AL15" s="1">
        <v>0</v>
      </c>
      <c r="AM15" s="1">
        <v>44.057037958268701</v>
      </c>
    </row>
    <row r="16" spans="1:39" x14ac:dyDescent="0.25">
      <c r="A16" s="1" t="str" cm="1">
        <f t="array" ref="A16">SQLupdate("FundamentalAnalysis", 1, "NULL", FundamentalAnalysis[[#This Row],[Ticker]], FundamentalAnalysis[[#This Row],[CompanyId]])</f>
        <v>UPDATE FundamentalAnalysis SET CompanyId = "ba705ca249774c1ca42daaf49f4dd941" WHERE (Ticker = "VIS.MC");</v>
      </c>
      <c r="B16" s="1" t="str" cm="1">
        <f t="array" ref="B16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VIS.MC",54.7,,20.699305011713,21.5329050988403,11.0517001828962,10.995258261164,16.0077046080084,3.44441118172459,20.6138297924745,36.5205998360912,0.166402262287333,0.188120387127417,0.117752049148815,0.44,0.100631195089802,1.12142234402636,0.610228610126699,0.413158102047414,0.164078499392493,0.237957843731415,7.1576486098242E-03,2239511330.763,47.1544591828163,3.94721679134431E-02,0.642381962516675,7.36388027058644E-02,-1.39392797765783E-02,7.26455784239075E-03,,);</v>
      </c>
      <c r="C16" s="9" t="s">
        <v>319</v>
      </c>
      <c r="D16" s="1" t="s">
        <v>131</v>
      </c>
      <c r="E16" s="15" t="s">
        <v>130</v>
      </c>
      <c r="F16" s="1">
        <v>54.7</v>
      </c>
      <c r="G16" s="15" t="s">
        <v>129</v>
      </c>
      <c r="H16" s="15"/>
      <c r="I16" s="15" t="s">
        <v>3</v>
      </c>
      <c r="J16" s="15"/>
      <c r="L16" s="1">
        <v>20.699305011713001</v>
      </c>
      <c r="M16" s="1">
        <v>21.532905098840299</v>
      </c>
      <c r="N16" s="1">
        <v>11.0517001828962</v>
      </c>
      <c r="O16" s="1">
        <v>10.995258261164</v>
      </c>
      <c r="P16" s="1">
        <v>16.0077046080084</v>
      </c>
      <c r="Q16" s="1">
        <v>3.4444111817245902</v>
      </c>
      <c r="R16" s="1">
        <v>20.613829792474501</v>
      </c>
      <c r="S16" s="1">
        <v>36.520599836091201</v>
      </c>
      <c r="T16" s="1">
        <v>0.16640226228733301</v>
      </c>
      <c r="U16" s="1">
        <v>0.18812038712741699</v>
      </c>
      <c r="V16" s="1">
        <v>0.117752049148815</v>
      </c>
      <c r="W16" s="1">
        <v>0.44</v>
      </c>
      <c r="X16" s="1">
        <v>0.10063119508980201</v>
      </c>
      <c r="Y16" s="1">
        <v>1.12142234402636</v>
      </c>
      <c r="Z16" s="1">
        <v>0.61022861012669904</v>
      </c>
      <c r="AA16" s="1">
        <v>0.41315810204741399</v>
      </c>
      <c r="AB16" s="1">
        <v>0.164078499392493</v>
      </c>
      <c r="AC16" s="1">
        <v>0.23795784373141499</v>
      </c>
      <c r="AD16" s="1">
        <v>7.1576486098241998E-3</v>
      </c>
      <c r="AE16" s="1">
        <v>2239511330.763</v>
      </c>
      <c r="AF16" s="1">
        <v>47.154459182816296</v>
      </c>
      <c r="AG16" s="1">
        <v>3.9472167913443101E-2</v>
      </c>
      <c r="AH16" s="1">
        <v>0.64238196251667501</v>
      </c>
      <c r="AI16" s="1">
        <v>7.3638802705864398E-2</v>
      </c>
      <c r="AJ16" s="1">
        <v>-1.3939279776578301E-2</v>
      </c>
      <c r="AK16" s="1">
        <v>7.2645578423907496E-3</v>
      </c>
    </row>
    <row r="17" spans="1:39" x14ac:dyDescent="0.25">
      <c r="A17" s="1" t="str" cm="1">
        <f t="array" ref="A17">SQLupdate("FundamentalAnalysis", 1, "NULL", FundamentalAnalysis[[#This Row],[Ticker]], FundamentalAnalysis[[#This Row],[CompanyId]])</f>
        <v>UPDATE FundamentalAnalysis SET CompanyId = "55f6e75ee0764fefab1da6af7f96291e" WHERE (Ticker = "MSFT");</v>
      </c>
      <c r="B17" s="1" t="str" cm="1">
        <f t="array" ref="B17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MSFT",304.8,"2021-06-30",33.7609003727001,45.6615715413523,26.3558907074259,18.9660640139181,30.0546183706522,16.1407386539708,59.9004495556717,30.5096297551297,0.478089697720934,0.317384812460734,0.203377084837572,1,6.37072546446428E-02,1.56244181407102,0.462258395857991,1.35075499337972,0.522994724739619,0.716121721867852,2.95123267950333E-02,2338189200000,112.4430157919,0.191026401143933,2.84474647151074E-02,3.07847082494971E-02,0.262280835881753,0.139409752760676,0.008,);</v>
      </c>
      <c r="C17" s="9" t="s">
        <v>320</v>
      </c>
      <c r="D17" s="1" t="s">
        <v>128</v>
      </c>
      <c r="E17" s="15" t="s">
        <v>127</v>
      </c>
      <c r="F17" s="1">
        <v>304.8</v>
      </c>
      <c r="G17" s="15" t="s">
        <v>36</v>
      </c>
      <c r="H17" s="15" t="s">
        <v>13</v>
      </c>
      <c r="I17" s="15" t="s">
        <v>12</v>
      </c>
      <c r="J17" s="15"/>
      <c r="K17" s="1" t="s">
        <v>34</v>
      </c>
      <c r="L17" s="1">
        <v>33.7609003727001</v>
      </c>
      <c r="M17" s="1">
        <v>45.661571541352302</v>
      </c>
      <c r="N17" s="1">
        <v>26.3558907074259</v>
      </c>
      <c r="O17" s="1">
        <v>18.9660640139181</v>
      </c>
      <c r="P17" s="1">
        <v>30.0546183706522</v>
      </c>
      <c r="Q17" s="1">
        <v>16.1407386539708</v>
      </c>
      <c r="R17" s="1">
        <v>59.900449555671699</v>
      </c>
      <c r="S17" s="1">
        <v>30.509629755129701</v>
      </c>
      <c r="T17" s="1">
        <v>0.47808969772093401</v>
      </c>
      <c r="U17" s="1">
        <v>0.31738481246073402</v>
      </c>
      <c r="V17" s="1">
        <v>0.203377084837572</v>
      </c>
      <c r="W17" s="1">
        <v>1</v>
      </c>
      <c r="X17" s="1">
        <v>6.3707254644642802E-2</v>
      </c>
      <c r="Y17" s="1">
        <v>1.5624418140710199</v>
      </c>
      <c r="Z17" s="1">
        <v>0.462258395857991</v>
      </c>
      <c r="AA17" s="1">
        <v>1.35075499337972</v>
      </c>
      <c r="AB17" s="1">
        <v>0.52299472473961905</v>
      </c>
      <c r="AC17" s="1">
        <v>0.71612172186785195</v>
      </c>
      <c r="AD17" s="1">
        <v>2.9512326795033302E-2</v>
      </c>
      <c r="AE17" s="1">
        <v>2338189200000</v>
      </c>
      <c r="AF17" s="1">
        <v>112.4430157919</v>
      </c>
      <c r="AG17" s="1">
        <v>0.19102640114393299</v>
      </c>
      <c r="AH17" s="1">
        <v>2.8447464715107399E-2</v>
      </c>
      <c r="AI17" s="1">
        <v>3.0784708249497101E-2</v>
      </c>
      <c r="AJ17" s="1">
        <v>0.26228083588175299</v>
      </c>
      <c r="AK17" s="1">
        <v>0.13940975276067599</v>
      </c>
      <c r="AL17" s="1">
        <v>8.0000000000000002E-3</v>
      </c>
    </row>
    <row r="18" spans="1:39" x14ac:dyDescent="0.25">
      <c r="A18" s="1" t="str" cm="1">
        <f t="array" ref="A18">SQLupdate("FundamentalAnalysis", 1, "NULL", FundamentalAnalysis[[#This Row],[Ticker]], FundamentalAnalysis[[#This Row],[CompanyId]])</f>
        <v>UPDATE FundamentalAnalysis SET CompanyId = "35684995e6344295aa337bc81078460c" WHERE (Ticker = "AMZN");</v>
      </c>
      <c r="B18" s="1" t="str" cm="1">
        <f t="array" ref="B18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AMZN",3224.28,"2020-12-31",76.0307927429563,221.571182883845,34.0256057639596,28.4944240228047,67.2949405614714,17.3634195537664,62.5602854497763,52.6996389693736,0.228373517194124,0.132565063395103,6.64113700400069E-02,1,0.317343840642493,83.7415506958251,0.554828768476367,2.43877135882832,2.27267209648367,2.56987047456902,6.37754114230397E-02,1737891840000,1130.07670420668,0.707773369699975,0.967618459638833,0.81740805034176,1.85984174085064,0.778072106535783,0,);</v>
      </c>
      <c r="C18" s="9" t="s">
        <v>321</v>
      </c>
      <c r="D18" s="1" t="s">
        <v>126</v>
      </c>
      <c r="E18" s="15" t="s">
        <v>125</v>
      </c>
      <c r="F18" s="1">
        <v>3224.28</v>
      </c>
      <c r="G18" s="15" t="s">
        <v>31</v>
      </c>
      <c r="H18" s="15" t="s">
        <v>13</v>
      </c>
      <c r="I18" s="15" t="s">
        <v>12</v>
      </c>
      <c r="J18" s="15"/>
      <c r="K18" s="1" t="s">
        <v>17</v>
      </c>
      <c r="L18" s="1">
        <v>76.030792742956294</v>
      </c>
      <c r="M18" s="1">
        <v>221.57118288384501</v>
      </c>
      <c r="N18" s="1">
        <v>34.025605763959597</v>
      </c>
      <c r="O18" s="1">
        <v>28.494424022804701</v>
      </c>
      <c r="P18" s="1">
        <v>67.294940561471407</v>
      </c>
      <c r="Q18" s="1">
        <v>17.363419553766398</v>
      </c>
      <c r="R18" s="1">
        <v>62.560285449776302</v>
      </c>
      <c r="S18" s="1">
        <v>52.699638969373602</v>
      </c>
      <c r="T18" s="1">
        <v>0.22837351719412399</v>
      </c>
      <c r="U18" s="1">
        <v>0.13256506339510299</v>
      </c>
      <c r="V18" s="1">
        <v>6.6411370040006898E-2</v>
      </c>
      <c r="W18" s="1">
        <v>1</v>
      </c>
      <c r="X18" s="1">
        <v>0.31734384064249299</v>
      </c>
      <c r="Y18" s="1">
        <v>83.741550695825097</v>
      </c>
      <c r="Z18" s="1">
        <v>0.55482876847636697</v>
      </c>
      <c r="AA18" s="1">
        <v>2.43877135882832</v>
      </c>
      <c r="AB18" s="1">
        <v>2.27267209648367</v>
      </c>
      <c r="AC18" s="1">
        <v>2.56987047456902</v>
      </c>
      <c r="AD18" s="1">
        <v>6.3775411423039705E-2</v>
      </c>
      <c r="AE18" s="1">
        <v>1737891840000</v>
      </c>
      <c r="AF18" s="1">
        <v>1130.07670420668</v>
      </c>
      <c r="AG18" s="1">
        <v>0.70777336969997495</v>
      </c>
      <c r="AH18" s="1">
        <v>0.96761845963883297</v>
      </c>
      <c r="AI18" s="1">
        <v>0.81740805034176001</v>
      </c>
      <c r="AJ18" s="1">
        <v>1.85984174085064</v>
      </c>
      <c r="AK18" s="1">
        <v>0.77807210653578296</v>
      </c>
      <c r="AL18" s="1">
        <v>0</v>
      </c>
    </row>
    <row r="19" spans="1:39" x14ac:dyDescent="0.25">
      <c r="A19" s="1" t="str" cm="1">
        <f t="array" ref="A19">SQLupdate("FundamentalAnalysis", 1, "NULL", FundamentalAnalysis[[#This Row],[Ticker]], FundamentalAnalysis[[#This Row],[CompanyId]])</f>
        <v>UPDATE FundamentalAnalysis SET CompanyId = "ddf28b2726e44f3e804640c81ca15e37" WHERE (Ticker = "ATVI");</v>
      </c>
      <c r="B19" s="1" t="str" cm="1">
        <f t="array" ref="B19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ATVI",82.31,"2020-12-31",24.1024355873525,31.570490840346,16.4321382162128,12.9715243675361,19.3258804169409,4.23800224067035,37.1585071095977,23.0415199837435,0.175832945401343,0.159778099855065,0.114414297459864,1,0.818457169900615,11.1685213550395,0.38404360753221,0.536809203963557,-0.516489361702128,-3.98519732984677E-02,3.37816703159212E-02,61784839692.96,53.9821077173091,0.293248945147679,-0.195056899004267,-0.183546491531283,0.379574184963406,0.162014616536057,0.0057,);</v>
      </c>
      <c r="C19" s="9" t="s">
        <v>332</v>
      </c>
      <c r="D19" s="1" t="s">
        <v>124</v>
      </c>
      <c r="E19" s="15" t="s">
        <v>123</v>
      </c>
      <c r="F19" s="1">
        <v>82.31</v>
      </c>
      <c r="G19" s="15" t="s">
        <v>122</v>
      </c>
      <c r="H19" s="15" t="s">
        <v>13</v>
      </c>
      <c r="I19" s="15" t="s">
        <v>12</v>
      </c>
      <c r="J19" s="15"/>
      <c r="K19" s="1" t="s">
        <v>17</v>
      </c>
      <c r="L19" s="1">
        <v>24.102435587352499</v>
      </c>
      <c r="M19" s="1">
        <v>31.570490840346</v>
      </c>
      <c r="N19" s="1">
        <v>16.432138216212799</v>
      </c>
      <c r="O19" s="1">
        <v>12.9715243675361</v>
      </c>
      <c r="P19" s="1">
        <v>19.325880416940901</v>
      </c>
      <c r="Q19" s="1">
        <v>4.2380022406703501</v>
      </c>
      <c r="R19" s="1">
        <v>37.1585071095977</v>
      </c>
      <c r="S19" s="1">
        <v>23.041519983743498</v>
      </c>
      <c r="T19" s="1">
        <v>0.175832945401343</v>
      </c>
      <c r="U19" s="1">
        <v>0.159778099855065</v>
      </c>
      <c r="V19" s="1">
        <v>0.11441429745986401</v>
      </c>
      <c r="W19" s="1">
        <v>1</v>
      </c>
      <c r="X19" s="1">
        <v>0.81845716990061501</v>
      </c>
      <c r="Y19" s="1">
        <v>11.1685213550395</v>
      </c>
      <c r="Z19" s="1">
        <v>0.38404360753221001</v>
      </c>
      <c r="AA19" s="1">
        <v>0.53680920396355702</v>
      </c>
      <c r="AB19" s="1">
        <v>-0.516489361702128</v>
      </c>
      <c r="AC19" s="1">
        <v>-3.9851973298467701E-2</v>
      </c>
      <c r="AD19" s="1">
        <v>3.3781670315921199E-2</v>
      </c>
      <c r="AE19" s="1">
        <v>61784839692.959999</v>
      </c>
      <c r="AF19" s="1">
        <v>53.982107717309098</v>
      </c>
      <c r="AG19" s="1">
        <v>0.29324894514767902</v>
      </c>
      <c r="AH19" s="1">
        <v>-0.19505689900426701</v>
      </c>
      <c r="AI19" s="1">
        <v>-0.183546491531283</v>
      </c>
      <c r="AJ19" s="1">
        <v>0.379574184963406</v>
      </c>
      <c r="AK19" s="1">
        <v>0.162014616536057</v>
      </c>
      <c r="AL19" s="1">
        <v>5.7000000000000002E-3</v>
      </c>
    </row>
    <row r="20" spans="1:39" x14ac:dyDescent="0.25">
      <c r="A20" s="1" t="str" cm="1">
        <f t="array" ref="A20">SQLupdate("FundamentalAnalysis", 1, "NULL", FundamentalAnalysis[[#This Row],[Ticker]], FundamentalAnalysis[[#This Row],[CompanyId]])</f>
        <v>UPDATE FundamentalAnalysis SET CompanyId = "4026c9373392433c9c9c02bcd4ca4511" WHERE (Ticker = "UL");</v>
      </c>
      <c r="B20" s="1" t="str" cm="1">
        <f t="array" ref="B20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UL",56.6781609195402,"2020-12-31",26.6873971694336,23.680147314576,14.4326856321127,16.258845557944,19.5408088657107,9.75647606462788,18.5320845592397,27.5479933808794,0.365583649941045,0.185012854016615,8.24871783502564E-02,0.167658,0.343380578077613,3.72493081605884E-02,0.411807055435565,3.27551421459452,1.79974554707379,1.84993697080761,8.17638952687184E-02,148040386334.27,-0.334057429821339,-4.90963294205308E-03,0.152853333333333,9.12506856829402E-02,-8.55773996365438E-02,4.79198767334361E-02,0.041199997,38.8767321604311);</v>
      </c>
      <c r="C20" s="9" t="s">
        <v>322</v>
      </c>
      <c r="D20" s="1" t="s">
        <v>121</v>
      </c>
      <c r="E20" s="15" t="s">
        <v>120</v>
      </c>
      <c r="F20" s="1">
        <v>56.678160919540197</v>
      </c>
      <c r="G20" s="15" t="s">
        <v>39</v>
      </c>
      <c r="H20" s="15" t="s">
        <v>10</v>
      </c>
      <c r="I20" s="15" t="s">
        <v>12</v>
      </c>
      <c r="J20" s="15" t="s">
        <v>3</v>
      </c>
      <c r="K20" s="1" t="s">
        <v>17</v>
      </c>
      <c r="L20" s="1">
        <v>26.687397169433599</v>
      </c>
      <c r="M20" s="1">
        <v>23.680147314576001</v>
      </c>
      <c r="N20" s="1">
        <v>14.432685632112699</v>
      </c>
      <c r="O20" s="1">
        <v>16.258845557943999</v>
      </c>
      <c r="P20" s="1">
        <v>19.540808865710702</v>
      </c>
      <c r="Q20" s="1">
        <v>9.7564760646278792</v>
      </c>
      <c r="R20" s="1">
        <v>18.532084559239699</v>
      </c>
      <c r="S20" s="1">
        <v>27.547993380879401</v>
      </c>
      <c r="T20" s="1">
        <v>0.36558364994104497</v>
      </c>
      <c r="U20" s="1">
        <v>0.18501285401661499</v>
      </c>
      <c r="V20" s="1">
        <v>8.2487178350256402E-2</v>
      </c>
      <c r="W20" s="1">
        <v>0.167658</v>
      </c>
      <c r="X20" s="1">
        <v>0.34338057807761302</v>
      </c>
      <c r="Y20" s="1">
        <v>3.7249308160588399E-2</v>
      </c>
      <c r="Z20" s="1">
        <v>0.41180705543556501</v>
      </c>
      <c r="AA20" s="1">
        <v>3.2755142145945202</v>
      </c>
      <c r="AB20" s="1">
        <v>1.79974554707379</v>
      </c>
      <c r="AC20" s="1">
        <v>1.8499369708076101</v>
      </c>
      <c r="AD20" s="1">
        <v>8.1763895268718398E-2</v>
      </c>
      <c r="AE20" s="1">
        <v>148040386334.26999</v>
      </c>
      <c r="AF20" s="1">
        <v>-0.33405742982133901</v>
      </c>
      <c r="AG20" s="1">
        <v>-4.9096329420530802E-3</v>
      </c>
      <c r="AH20" s="1">
        <v>0.15285333333333301</v>
      </c>
      <c r="AI20" s="1">
        <v>9.1250685682940202E-2</v>
      </c>
      <c r="AJ20" s="1">
        <v>-8.5577399636543802E-2</v>
      </c>
      <c r="AK20" s="1">
        <v>4.7919876733436097E-2</v>
      </c>
      <c r="AL20" s="1">
        <v>4.1199997000000002E-2</v>
      </c>
      <c r="AM20" s="1">
        <v>38.876732160431096</v>
      </c>
    </row>
    <row r="21" spans="1:39" x14ac:dyDescent="0.25">
      <c r="A21" s="1" t="str" cm="1">
        <f t="array" ref="A21">SQLupdate("FundamentalAnalysis", 1, "NULL", FundamentalAnalysis[[#This Row],[Ticker]], FundamentalAnalysis[[#This Row],[CompanyId]])</f>
        <v>UPDATE FundamentalAnalysis SET CompanyId = "858949ff4ec046a88c19350dbd94a4d2" WHERE (Ticker = "EDF.PA");</v>
      </c>
      <c r="B21" s="1" t="str" cm="1">
        <f t="array" ref="B21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EDF.PA",8.14,"2020-12-31",38.8101872816308,21.4987130623212,4.22628144975355,4.88066321773904,12.5282495497982,0.552815325160739,100,100,1.42440777507506E-02,2.40574309513371E-02,2.11044442712798E-03,0.888588,8.77962102564849E-02,0.238953913995554,0.20778110980116,5.53910547191725,2.84164882814644,2.95695867377228,0.789619264562317,66988800907.7622,9.12810530588395E-02,-2.59419233971691E-02,-5.12086513994912E-02,1.94744616341445E-02,-0.223874256584537,1.30877690076231E-02,0.0617,7.92721398364263);</v>
      </c>
      <c r="C21" s="9" t="s">
        <v>333</v>
      </c>
      <c r="D21" s="1" t="s">
        <v>119</v>
      </c>
      <c r="E21" s="15" t="s">
        <v>2</v>
      </c>
      <c r="F21" s="1">
        <v>8.14</v>
      </c>
      <c r="G21" s="15" t="s">
        <v>118</v>
      </c>
      <c r="H21" s="15" t="s">
        <v>9</v>
      </c>
      <c r="I21" s="15" t="s">
        <v>3</v>
      </c>
      <c r="J21" s="15" t="s">
        <v>3</v>
      </c>
      <c r="K21" s="1" t="s">
        <v>17</v>
      </c>
      <c r="L21" s="1">
        <v>38.810187281630803</v>
      </c>
      <c r="M21" s="1">
        <v>21.498713062321201</v>
      </c>
      <c r="N21" s="1">
        <v>4.2262814497535501</v>
      </c>
      <c r="O21" s="1">
        <v>4.8806632177390403</v>
      </c>
      <c r="P21" s="1">
        <v>12.5282495497982</v>
      </c>
      <c r="Q21" s="1">
        <v>0.55281532516073895</v>
      </c>
      <c r="R21" s="1">
        <v>100</v>
      </c>
      <c r="S21" s="1">
        <v>100</v>
      </c>
      <c r="T21" s="1">
        <v>1.42440777507506E-2</v>
      </c>
      <c r="U21" s="1">
        <v>2.4057430951337101E-2</v>
      </c>
      <c r="V21" s="1">
        <v>2.1104444271279801E-3</v>
      </c>
      <c r="W21" s="1">
        <v>0.88858800000000004</v>
      </c>
      <c r="X21" s="1">
        <v>8.7796210256484902E-2</v>
      </c>
      <c r="Y21" s="1">
        <v>0.23895391399555399</v>
      </c>
      <c r="Z21" s="1">
        <v>0.20778110980115999</v>
      </c>
      <c r="AA21" s="1">
        <v>5.5391054719172503</v>
      </c>
      <c r="AB21" s="1">
        <v>2.84164882814644</v>
      </c>
      <c r="AC21" s="1">
        <v>2.9569586737722799</v>
      </c>
      <c r="AD21" s="1">
        <v>0.78961926456231701</v>
      </c>
      <c r="AE21" s="1">
        <v>66988800907.762199</v>
      </c>
      <c r="AF21" s="1">
        <v>9.1281053058839504E-2</v>
      </c>
      <c r="AG21" s="1">
        <v>-2.5941923397169098E-2</v>
      </c>
      <c r="AH21" s="1">
        <v>-5.1208651399491198E-2</v>
      </c>
      <c r="AI21" s="1">
        <v>1.9474461634144499E-2</v>
      </c>
      <c r="AJ21" s="1">
        <v>-0.223874256584537</v>
      </c>
      <c r="AK21" s="1">
        <v>1.3087769007623099E-2</v>
      </c>
      <c r="AL21" s="1">
        <v>6.1699999999999998E-2</v>
      </c>
      <c r="AM21" s="1">
        <v>7.9272139836426296</v>
      </c>
    </row>
    <row r="22" spans="1:39" x14ac:dyDescent="0.25">
      <c r="A22" s="1" t="str" cm="1">
        <f t="array" ref="A22">SQLupdate("FundamentalAnalysis", 1, "NULL", FundamentalAnalysis[[#This Row],[Ticker]], FundamentalAnalysis[[#This Row],[CompanyId]])</f>
        <v>UPDATE FundamentalAnalysis SET CompanyId = "a024fbbf36aa41b9956fece11c7743b7" WHERE (Ticker = "GE");</v>
      </c>
      <c r="B22" s="1" t="str" cm="1">
        <f t="array" ref="B22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GE",96.08,"2020-12-31",18.4560958853436,79.6140239713359,8.86822406232644,12.725316086657,16.9668914911452,2.96111529393564,542.647272835051,147.482877085266,0.16044104410441,4.29112795363353E-02,2.25052475419409E-02,1.035478,0.414314960808044,0.347950579394296,0.259120613001322,6.0862398739874,2.37186053687134,4.45405451106734,0.38642266824085,143709570930,-0.151545691521047,1.51886440044827E-02,-1.79169992019157E-02,-0.153088432764243,-0.89605945385413,-0.13817904548496,0.0033000002,75.1202099969031);</v>
      </c>
      <c r="C22" s="9" t="s">
        <v>323</v>
      </c>
      <c r="D22" s="1" t="s">
        <v>117</v>
      </c>
      <c r="E22" s="15" t="s">
        <v>116</v>
      </c>
      <c r="F22" s="1">
        <v>96.08</v>
      </c>
      <c r="G22" s="15" t="s">
        <v>45</v>
      </c>
      <c r="H22" s="15" t="s">
        <v>13</v>
      </c>
      <c r="I22" s="15" t="s">
        <v>12</v>
      </c>
      <c r="J22" s="15" t="s">
        <v>12</v>
      </c>
      <c r="K22" s="1" t="s">
        <v>17</v>
      </c>
      <c r="L22" s="1">
        <v>18.456095885343601</v>
      </c>
      <c r="M22" s="1">
        <v>79.614023971335897</v>
      </c>
      <c r="N22" s="1">
        <v>8.8682240623264406</v>
      </c>
      <c r="O22" s="1">
        <v>12.725316086656999</v>
      </c>
      <c r="P22" s="1">
        <v>16.966891491145201</v>
      </c>
      <c r="Q22" s="1">
        <v>2.9611152939356402</v>
      </c>
      <c r="R22" s="1">
        <v>542.64727283505101</v>
      </c>
      <c r="S22" s="1">
        <v>147.48287708526601</v>
      </c>
      <c r="T22" s="1">
        <v>0.16044104410441001</v>
      </c>
      <c r="U22" s="1">
        <v>4.2911279536335299E-2</v>
      </c>
      <c r="V22" s="1">
        <v>2.2505247541940901E-2</v>
      </c>
      <c r="W22" s="1">
        <v>1.0354779999999999</v>
      </c>
      <c r="X22" s="1">
        <v>0.41431496080804397</v>
      </c>
      <c r="Y22" s="1">
        <v>0.34795057939429602</v>
      </c>
      <c r="Z22" s="1">
        <v>0.259120613001322</v>
      </c>
      <c r="AA22" s="1">
        <v>6.0862398739873997</v>
      </c>
      <c r="AB22" s="1">
        <v>2.3718605368713401</v>
      </c>
      <c r="AC22" s="1">
        <v>4.4540545110673397</v>
      </c>
      <c r="AD22" s="1">
        <v>0.38642266824084998</v>
      </c>
      <c r="AE22" s="1">
        <v>143709570930</v>
      </c>
      <c r="AF22" s="1">
        <v>-0.15154569152104699</v>
      </c>
      <c r="AG22" s="1">
        <v>1.51886440044827E-2</v>
      </c>
      <c r="AH22" s="1">
        <v>-1.7916999201915699E-2</v>
      </c>
      <c r="AI22" s="1">
        <v>-0.153088432764243</v>
      </c>
      <c r="AJ22" s="1">
        <v>-0.89605945385412999</v>
      </c>
      <c r="AK22" s="1">
        <v>-0.13817904548495999</v>
      </c>
      <c r="AL22" s="1">
        <v>3.3000002000000001E-3</v>
      </c>
      <c r="AM22" s="1">
        <v>75.1202099969031</v>
      </c>
    </row>
    <row r="23" spans="1:39" x14ac:dyDescent="0.25">
      <c r="A23" s="1" t="str" cm="1">
        <f t="array" ref="A23">SQLupdate("FundamentalAnalysis", 1, "NULL", FundamentalAnalysis[[#This Row],[Ticker]], FundamentalAnalysis[[#This Row],[CompanyId]])</f>
        <v>UPDATE FundamentalAnalysis SET CompanyId = "b1e501758e9d4c87bcf25bd5547ec375" WHERE (Ticker = "BIDU");</v>
      </c>
      <c r="B23" s="1" t="str" cm="1">
        <f t="array" ref="B23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BIDU",1006.46666666667,"2020-12-31",61.3918782036034,517.588083126659,52.9015171717577,89.4158927063599,53.4134440791033,14.7592397997694,198.195815836727,217.500411579264,0.240410299076061,0.194303938741615,0.132013657621698,1.016725,0.195165319457626,1.32700201864864E-02,0.475004688574465,0.788013968559793,0.902634217834002,1.07155514874308,-1.28098061704609E-03,411489161168.8,-0.826555229114297,0.545863418175951,-0.139488049181197,0.243119834710744,10.1762275157997,6.07715304763132E-02,0,174.566380404098);</v>
      </c>
      <c r="C23" s="9" t="s">
        <v>334</v>
      </c>
      <c r="D23" s="1" t="s">
        <v>115</v>
      </c>
      <c r="E23" s="15" t="s">
        <v>114</v>
      </c>
      <c r="F23" s="1">
        <v>1006.46666666667</v>
      </c>
      <c r="G23" s="15" t="s">
        <v>42</v>
      </c>
      <c r="H23" s="15" t="s">
        <v>30</v>
      </c>
      <c r="I23" s="15" t="s">
        <v>12</v>
      </c>
      <c r="J23" s="15" t="s">
        <v>0</v>
      </c>
      <c r="K23" s="1" t="s">
        <v>17</v>
      </c>
      <c r="L23" s="1">
        <v>61.391878203603397</v>
      </c>
      <c r="M23" s="1">
        <v>517.58808312665894</v>
      </c>
      <c r="N23" s="1">
        <v>52.901517171757703</v>
      </c>
      <c r="O23" s="1">
        <v>89.415892706359898</v>
      </c>
      <c r="P23" s="1">
        <v>53.4134440791033</v>
      </c>
      <c r="Q23" s="1">
        <v>14.7592397997694</v>
      </c>
      <c r="R23" s="1">
        <v>198.19581583672701</v>
      </c>
      <c r="S23" s="1">
        <v>217.50041157926401</v>
      </c>
      <c r="T23" s="1">
        <v>0.24041029907606101</v>
      </c>
      <c r="U23" s="1">
        <v>0.194303938741615</v>
      </c>
      <c r="V23" s="1">
        <v>0.13201365762169801</v>
      </c>
      <c r="W23" s="1">
        <v>1.0167250000000001</v>
      </c>
      <c r="X23" s="1">
        <v>0.195165319457626</v>
      </c>
      <c r="Y23" s="1">
        <v>1.32700201864864E-2</v>
      </c>
      <c r="Z23" s="1">
        <v>0.47500468857446498</v>
      </c>
      <c r="AA23" s="1">
        <v>0.788013968559793</v>
      </c>
      <c r="AB23" s="1">
        <v>0.902634217834002</v>
      </c>
      <c r="AC23" s="1">
        <v>1.0715551487430801</v>
      </c>
      <c r="AD23" s="1">
        <v>-1.2809806170460899E-3</v>
      </c>
      <c r="AE23" s="1">
        <v>411489161168.79999</v>
      </c>
      <c r="AF23" s="1">
        <v>-0.82655522911429702</v>
      </c>
      <c r="AG23" s="1">
        <v>0.54586341817595097</v>
      </c>
      <c r="AH23" s="1">
        <v>-0.139488049181197</v>
      </c>
      <c r="AI23" s="1">
        <v>0.243119834710744</v>
      </c>
      <c r="AJ23" s="1">
        <v>10.176227515799701</v>
      </c>
      <c r="AK23" s="1">
        <v>6.0771530476313201E-2</v>
      </c>
      <c r="AL23" s="1">
        <v>0</v>
      </c>
      <c r="AM23" s="1">
        <v>174.566380404098</v>
      </c>
    </row>
    <row r="24" spans="1:39" x14ac:dyDescent="0.25">
      <c r="A24" s="1" t="str" cm="1">
        <f t="array" ref="A24">SQLupdate("FundamentalAnalysis", 1, "NULL", FundamentalAnalysis[[#This Row],[Ticker]], FundamentalAnalysis[[#This Row],[CompanyId]])</f>
        <v>UPDATE FundamentalAnalysis SET CompanyId = "27a1819ebc1548559bfb2dbef5034c99" WHERE (Ticker = "INTC");</v>
      </c>
      <c r="B24" s="1" t="str" cm="1">
        <f t="array" ref="B24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INTC",47.73,"2021-12-31",9.77758707469297,9.75095032907024,6.69437465062226,7.21150077147053,10.2033677130045,2.03647199421329,13.6314013051716,13.7982815949797,0.208279607090816,0.158218867067772,0.117976794175979,0.535554,0.083630756436467,2.48480009636515E-02,0.37611449702116,0.765428604375675,0.978963782400188,0.804989377899579,2.67713004484305E-02,227535100000,0.404300675700247,-5.95436351418471E-03,-0.108551908652238,-0.134934379242721,-1.58542379323451E-02,8.85398924399501E-02,0.0301,67.0272712511728);</v>
      </c>
      <c r="C24" s="9" t="s">
        <v>335</v>
      </c>
      <c r="D24" s="1" t="s">
        <v>113</v>
      </c>
      <c r="E24" s="15" t="s">
        <v>112</v>
      </c>
      <c r="F24" s="1">
        <v>47.73</v>
      </c>
      <c r="G24" s="15" t="s">
        <v>14</v>
      </c>
      <c r="H24" s="15" t="s">
        <v>13</v>
      </c>
      <c r="I24" s="15" t="s">
        <v>12</v>
      </c>
      <c r="J24" s="15" t="s">
        <v>12</v>
      </c>
      <c r="K24" s="1" t="s">
        <v>21</v>
      </c>
      <c r="L24" s="1">
        <v>9.7775870746929705</v>
      </c>
      <c r="M24" s="1">
        <v>9.7509503290702408</v>
      </c>
      <c r="N24" s="1">
        <v>6.6943746506222599</v>
      </c>
      <c r="O24" s="1">
        <v>7.2115007714705301</v>
      </c>
      <c r="P24" s="1">
        <v>10.2033677130045</v>
      </c>
      <c r="Q24" s="1">
        <v>2.0364719942132901</v>
      </c>
      <c r="R24" s="1">
        <v>13.6314013051716</v>
      </c>
      <c r="S24" s="1">
        <v>13.7982815949797</v>
      </c>
      <c r="T24" s="1">
        <v>0.208279607090816</v>
      </c>
      <c r="U24" s="1">
        <v>0.158218867067772</v>
      </c>
      <c r="V24" s="1">
        <v>0.11797679417597901</v>
      </c>
      <c r="W24" s="1">
        <v>0.53555399999999997</v>
      </c>
      <c r="X24" s="1">
        <v>8.3630756436467002E-2</v>
      </c>
      <c r="Y24" s="1">
        <v>2.4848000963651501E-2</v>
      </c>
      <c r="Z24" s="1">
        <v>0.37611449702116001</v>
      </c>
      <c r="AA24" s="1">
        <v>0.76542860437567495</v>
      </c>
      <c r="AB24" s="1">
        <v>0.978963782400188</v>
      </c>
      <c r="AC24" s="1">
        <v>0.80498937789957903</v>
      </c>
      <c r="AD24" s="1">
        <v>2.6771300448430499E-2</v>
      </c>
      <c r="AE24" s="1">
        <v>227535100000</v>
      </c>
      <c r="AF24" s="1">
        <v>0.40430067570024703</v>
      </c>
      <c r="AG24" s="1">
        <v>-5.9543635141847103E-3</v>
      </c>
      <c r="AH24" s="1">
        <v>-0.108551908652238</v>
      </c>
      <c r="AI24" s="1">
        <v>-0.134934379242721</v>
      </c>
      <c r="AJ24" s="1">
        <v>-1.5854237932345101E-2</v>
      </c>
      <c r="AK24" s="1">
        <v>8.8539892439950099E-2</v>
      </c>
      <c r="AL24" s="1">
        <v>3.0099999999999998E-2</v>
      </c>
      <c r="AM24" s="1">
        <v>67.027271251172806</v>
      </c>
    </row>
    <row r="25" spans="1:39" x14ac:dyDescent="0.25">
      <c r="A25" s="1" t="str" cm="1">
        <f t="array" ref="A25">SQLupdate("FundamentalAnalysis", 1, "NULL", FundamentalAnalysis[[#This Row],[Ticker]], FundamentalAnalysis[[#This Row],[CompanyId]])</f>
        <v>UPDATE FundamentalAnalysis SET CompanyId = "83483bb34aed4456a558053e108fc571" WHERE (Ticker = "0788.HK");</v>
      </c>
      <c r="B25" s="1" t="str" cm="1">
        <f t="array" ref="B25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0788.HK",0.744,"2020-12-31",18.9590708617136,21.4691546781149,3.7821630912812,5.26874289403292,3.85787479306324,0.703107747546812,100,40.353617546422,0.037085559343875,0.26823549806063,2.04724642835971E-02,0.111382,0.116702157207666,0.038503156586742,0.705565921632459,0.811479502805445,1.70796572315588,1.73597956508811,6.04258894238537E-02,35816895366.2784,1.07305396152872,4.58310278046755E-02,-0.500299539170507,0.322038650245319,0.161336652623516,1.59084109871359E-02,0.028299998,1.54235214737737);</v>
      </c>
      <c r="C25" s="9" t="s">
        <v>336</v>
      </c>
      <c r="D25" s="1" t="s">
        <v>111</v>
      </c>
      <c r="E25" s="15" t="s">
        <v>110</v>
      </c>
      <c r="F25" s="1">
        <v>0.74399999999999999</v>
      </c>
      <c r="G25" s="15" t="s">
        <v>109</v>
      </c>
      <c r="H25" s="15" t="s">
        <v>30</v>
      </c>
      <c r="I25" s="15" t="s">
        <v>29</v>
      </c>
      <c r="J25" s="15" t="s">
        <v>0</v>
      </c>
      <c r="K25" s="1" t="s">
        <v>17</v>
      </c>
      <c r="L25" s="1">
        <v>18.959070861713599</v>
      </c>
      <c r="M25" s="1">
        <v>21.469154678114901</v>
      </c>
      <c r="N25" s="1">
        <v>3.7821630912812001</v>
      </c>
      <c r="O25" s="1">
        <v>5.2687428940329202</v>
      </c>
      <c r="P25" s="1">
        <v>3.8578747930632402</v>
      </c>
      <c r="Q25" s="1">
        <v>0.70310774754681205</v>
      </c>
      <c r="R25" s="1">
        <v>100</v>
      </c>
      <c r="S25" s="1">
        <v>40.353617546422001</v>
      </c>
      <c r="T25" s="1">
        <v>3.7085559343875002E-2</v>
      </c>
      <c r="U25" s="1">
        <v>0.26823549806063002</v>
      </c>
      <c r="V25" s="1">
        <v>2.04724642835971E-2</v>
      </c>
      <c r="W25" s="1">
        <v>0.11138199999999999</v>
      </c>
      <c r="X25" s="1">
        <v>0.116702157207666</v>
      </c>
      <c r="Y25" s="1">
        <v>3.8503156586741999E-2</v>
      </c>
      <c r="Z25" s="1">
        <v>0.70556592163245901</v>
      </c>
      <c r="AA25" s="1">
        <v>0.81147950280544501</v>
      </c>
      <c r="AB25" s="1">
        <v>1.70796572315588</v>
      </c>
      <c r="AC25" s="1">
        <v>1.73597956508811</v>
      </c>
      <c r="AD25" s="1">
        <v>6.0425889423853699E-2</v>
      </c>
      <c r="AE25" s="1">
        <v>35816895366.278397</v>
      </c>
      <c r="AF25" s="1">
        <v>1.07305396152872</v>
      </c>
      <c r="AG25" s="1">
        <v>4.5831027804675503E-2</v>
      </c>
      <c r="AH25" s="1">
        <v>-0.50029953917050696</v>
      </c>
      <c r="AI25" s="1">
        <v>0.32203865024531902</v>
      </c>
      <c r="AJ25" s="1">
        <v>0.16133665262351601</v>
      </c>
      <c r="AK25" s="1">
        <v>1.5908410987135899E-2</v>
      </c>
      <c r="AL25" s="1">
        <v>2.8299998E-2</v>
      </c>
      <c r="AM25" s="1">
        <v>1.54235214737737</v>
      </c>
    </row>
    <row r="26" spans="1:39" x14ac:dyDescent="0.25">
      <c r="A26" s="1" t="str" cm="1">
        <f t="array" ref="A26">SQLupdate("FundamentalAnalysis", 1, "NULL", FundamentalAnalysis[[#This Row],[Ticker]], FundamentalAnalysis[[#This Row],[CompanyId]])</f>
        <v>UPDATE FundamentalAnalysis SET CompanyId = "d0075a1c73044f51b224119379dc022a" WHERE (Ticker = "2168.HK");</v>
      </c>
      <c r="B26" s="1" t="str" cm="1">
        <f t="array" ref="B26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2168.HK",7.168,"2020-12-31",4.9734941496096,9.88692610757639,0.256205761015982,3.51241781234558,0.270714538285311,0.88206805017184,6.31708098704391,8.71395113646766,0.177353792653215,0.255765455677145,0.112367053591679,-0.097794,0.556726657723109,0.922939435006957,0.952832397003745,0.553005731709948,-2.84807239656128,-3.84555538468801,0.093686021530937,13665900,10.9965740303342,0.864291030746683,-0.30434826421001,-0.297550731361871,1.55297284297765,0.734828332024297,0.0757,83.4116993699525);</v>
      </c>
      <c r="C26" s="9" t="s">
        <v>337</v>
      </c>
      <c r="D26" s="1" t="s">
        <v>108</v>
      </c>
      <c r="E26" s="15" t="s">
        <v>107</v>
      </c>
      <c r="F26" s="1">
        <v>7.1680000000000001</v>
      </c>
      <c r="G26" s="15" t="s">
        <v>61</v>
      </c>
      <c r="H26" s="15" t="s">
        <v>30</v>
      </c>
      <c r="I26" s="15" t="s">
        <v>29</v>
      </c>
      <c r="J26" s="15" t="s">
        <v>0</v>
      </c>
      <c r="K26" s="1" t="s">
        <v>17</v>
      </c>
      <c r="L26" s="1">
        <v>4.9734941496095999</v>
      </c>
      <c r="M26" s="1">
        <v>9.8869261075763895</v>
      </c>
      <c r="N26" s="1">
        <v>0.25620576101598203</v>
      </c>
      <c r="O26" s="1">
        <v>3.5124178123455798</v>
      </c>
      <c r="P26" s="1">
        <v>0.270714538285311</v>
      </c>
      <c r="Q26" s="1">
        <v>0.88206805017183998</v>
      </c>
      <c r="R26" s="1">
        <v>6.3170809870439104</v>
      </c>
      <c r="S26" s="1">
        <v>8.7139511364676601</v>
      </c>
      <c r="T26" s="1">
        <v>0.17735379265321499</v>
      </c>
      <c r="U26" s="1">
        <v>0.25576545567714498</v>
      </c>
      <c r="V26" s="1">
        <v>0.11236705359167901</v>
      </c>
      <c r="W26" s="1">
        <v>-9.7794000000000006E-2</v>
      </c>
      <c r="X26" s="1">
        <v>0.55672665772310903</v>
      </c>
      <c r="Y26" s="1">
        <v>0.92293943500695697</v>
      </c>
      <c r="Z26" s="1">
        <v>0.952832397003745</v>
      </c>
      <c r="AA26" s="1">
        <v>0.55300573170994805</v>
      </c>
      <c r="AB26" s="1">
        <v>-2.84807239656128</v>
      </c>
      <c r="AC26" s="1">
        <v>-3.8455553846880099</v>
      </c>
      <c r="AD26" s="1">
        <v>9.3686021530936997E-2</v>
      </c>
      <c r="AE26" s="1">
        <v>13665900</v>
      </c>
      <c r="AF26" s="1">
        <v>10.9965740303342</v>
      </c>
      <c r="AG26" s="1">
        <v>0.86429103074668301</v>
      </c>
      <c r="AH26" s="1">
        <v>-0.30434826421000999</v>
      </c>
      <c r="AI26" s="1">
        <v>-0.29755073136187099</v>
      </c>
      <c r="AJ26" s="1">
        <v>1.5529728429776499</v>
      </c>
      <c r="AK26" s="1">
        <v>0.73482833202429698</v>
      </c>
      <c r="AL26" s="1">
        <v>7.5700000000000003E-2</v>
      </c>
      <c r="AM26" s="1">
        <v>83.411699369952501</v>
      </c>
    </row>
    <row r="27" spans="1:39" x14ac:dyDescent="0.25">
      <c r="A27" s="1" t="str" cm="1">
        <f t="array" ref="A27">SQLupdate("FundamentalAnalysis", 1, "NULL", FundamentalAnalysis[[#This Row],[Ticker]], FundamentalAnalysis[[#This Row],[CompanyId]])</f>
        <v>UPDATE FundamentalAnalysis SET CompanyId = "b7606729eb0f40108774a995ec880afa" WHERE (Ticker = "MTY.TO");</v>
      </c>
      <c r="B27" s="1" t="str" cm="1">
        <f t="array" ref="B27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MTY.TO",53.46,"2021-11-30",15.4001430890132,58.09481483244,12.3938611487988,13.4870155335428,16.8053620238114,2.03640122660927,9.95090280376652,11.5656465717545,0.132232617245101,8.05106506280941E-02,4.49644386152639E-02,2.071474,0.26226720578409,4.64274690040592E-02,0.285489481530562,1.93888261824875,4.58005746956187,4.32444851460964,9.96641976895516E-02,1610761347.58,-0.265101745970354,8.35784796464221E-02,-1.8160089980316E-03,-2.22353055749839E-02,6.63611200514964E-02,-4.48830695068723E-03,0.0155,36.1446478075909);</v>
      </c>
      <c r="C27" s="9" t="s">
        <v>324</v>
      </c>
      <c r="D27" s="1" t="s">
        <v>106</v>
      </c>
      <c r="E27" s="15" t="s">
        <v>105</v>
      </c>
      <c r="F27" s="1">
        <v>53.46</v>
      </c>
      <c r="G27" s="15" t="s">
        <v>104</v>
      </c>
      <c r="H27" s="15" t="s">
        <v>35</v>
      </c>
      <c r="I27" s="15" t="s">
        <v>1</v>
      </c>
      <c r="J27" s="15" t="s">
        <v>1</v>
      </c>
      <c r="K27" s="1" t="s">
        <v>103</v>
      </c>
      <c r="L27" s="1">
        <v>15.4001430890132</v>
      </c>
      <c r="M27" s="1">
        <v>58.094814832440001</v>
      </c>
      <c r="N27" s="1">
        <v>12.3938611487988</v>
      </c>
      <c r="O27" s="1">
        <v>13.487015533542801</v>
      </c>
      <c r="P27" s="1">
        <v>16.805362023811401</v>
      </c>
      <c r="Q27" s="1">
        <v>2.0364012266092701</v>
      </c>
      <c r="R27" s="1">
        <v>9.9509028037665193</v>
      </c>
      <c r="S27" s="1">
        <v>11.565646571754501</v>
      </c>
      <c r="T27" s="1">
        <v>0.13223261724510099</v>
      </c>
      <c r="U27" s="1">
        <v>8.0510650628094094E-2</v>
      </c>
      <c r="V27" s="1">
        <v>4.4964438615263898E-2</v>
      </c>
      <c r="W27" s="1">
        <v>2.0714739999999998</v>
      </c>
      <c r="X27" s="1">
        <v>0.26226720578409002</v>
      </c>
      <c r="Y27" s="1">
        <v>4.6427469004059203E-2</v>
      </c>
      <c r="Z27" s="1">
        <v>0.28548948153056197</v>
      </c>
      <c r="AA27" s="1">
        <v>1.93888261824875</v>
      </c>
      <c r="AB27" s="1">
        <v>4.5800574695618703</v>
      </c>
      <c r="AC27" s="1">
        <v>4.3244485146096396</v>
      </c>
      <c r="AD27" s="1">
        <v>9.9664197689551606E-2</v>
      </c>
      <c r="AE27" s="1">
        <v>1610761347.5799999</v>
      </c>
      <c r="AF27" s="1">
        <v>-0.26510174597035402</v>
      </c>
      <c r="AG27" s="1">
        <v>8.3578479646422094E-2</v>
      </c>
      <c r="AH27" s="1">
        <v>-1.8160089980316001E-3</v>
      </c>
      <c r="AI27" s="1">
        <v>-2.2235305574983901E-2</v>
      </c>
      <c r="AJ27" s="1">
        <v>6.63611200514964E-2</v>
      </c>
      <c r="AK27" s="1">
        <v>-4.4883069506872304E-3</v>
      </c>
      <c r="AL27" s="1">
        <v>1.55E-2</v>
      </c>
      <c r="AM27" s="1">
        <v>36.1446478075909</v>
      </c>
    </row>
    <row r="28" spans="1:39" x14ac:dyDescent="0.25">
      <c r="A28" s="1" t="str" cm="1">
        <f t="array" ref="A28">SQLupdate("FundamentalAnalysis", 1, "NULL", FundamentalAnalysis[[#This Row],[Ticker]], FundamentalAnalysis[[#This Row],[CompanyId]])</f>
        <v>UPDATE FundamentalAnalysis SET CompanyId = "9138d4c2dc624b35a9e0defb85ac7789" WHERE (Ticker = "JD.L");</v>
      </c>
      <c r="B28" s="1" t="str" cm="1">
        <f t="array" ref="B28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JD.L",1.8805,"2021-01-31",40.7972571863576,37.6447036544797,11.1155568863071,8.45389914888191,26.7148695763636,7.38744230798418,47.7351319087115,16.3174414310733,0.181076935496892,0.106736900471306,4.34529921153064E-02,1.517036,0.50247486062627,0.105389407234701,0.424198608648206,2.95915072253169,1.22598076299579,0.883152353828266,0.158441558441558,1378220121444.6,2.7526449788895E-03,0.486460554371002,-0.39784717041458,-0.322322604931301,-7.16195569136748E-02,0.11394726407613,0.0015,1.8856763488828);</v>
      </c>
      <c r="C28" s="9" t="s">
        <v>338</v>
      </c>
      <c r="D28" s="1" t="s">
        <v>102</v>
      </c>
      <c r="E28" s="15" t="s">
        <v>101</v>
      </c>
      <c r="F28" s="1">
        <v>1.8805000000000001</v>
      </c>
      <c r="G28" s="15" t="s">
        <v>100</v>
      </c>
      <c r="H28" s="15" t="s">
        <v>10</v>
      </c>
      <c r="I28" s="15" t="s">
        <v>60</v>
      </c>
      <c r="J28" s="15" t="s">
        <v>59</v>
      </c>
      <c r="K28" s="1" t="s">
        <v>99</v>
      </c>
      <c r="L28" s="1">
        <v>40.797257186357598</v>
      </c>
      <c r="M28" s="1">
        <v>37.644703654479699</v>
      </c>
      <c r="N28" s="1">
        <v>11.1155568863071</v>
      </c>
      <c r="O28" s="1">
        <v>8.4538991488819093</v>
      </c>
      <c r="P28" s="1">
        <v>26.714869576363601</v>
      </c>
      <c r="Q28" s="1">
        <v>7.3874423079841796</v>
      </c>
      <c r="R28" s="1">
        <v>47.735131908711502</v>
      </c>
      <c r="S28" s="1">
        <v>16.317441431073298</v>
      </c>
      <c r="T28" s="1">
        <v>0.18107693549689199</v>
      </c>
      <c r="U28" s="1">
        <v>0.106736900471306</v>
      </c>
      <c r="V28" s="1">
        <v>4.3452992115306399E-2</v>
      </c>
      <c r="W28" s="1">
        <v>1.5170360000000001</v>
      </c>
      <c r="X28" s="1">
        <v>0.50247486062627</v>
      </c>
      <c r="Y28" s="1">
        <v>0.105389407234701</v>
      </c>
      <c r="Z28" s="1">
        <v>0.42419860864820602</v>
      </c>
      <c r="AA28" s="1">
        <v>2.9591507225316902</v>
      </c>
      <c r="AB28" s="1">
        <v>1.22598076299579</v>
      </c>
      <c r="AC28" s="1">
        <v>0.88315235382826596</v>
      </c>
      <c r="AD28" s="1">
        <v>0.15844155844155799</v>
      </c>
      <c r="AE28" s="1">
        <v>1378220121444.6001</v>
      </c>
      <c r="AF28" s="1">
        <v>2.7526449788895001E-3</v>
      </c>
      <c r="AG28" s="1">
        <v>0.486460554371002</v>
      </c>
      <c r="AH28" s="1">
        <v>-0.39784717041458001</v>
      </c>
      <c r="AI28" s="1">
        <v>-0.32232260493130099</v>
      </c>
      <c r="AJ28" s="1">
        <v>-7.1619556913674803E-2</v>
      </c>
      <c r="AK28" s="1">
        <v>0.11394726407613</v>
      </c>
      <c r="AL28" s="1">
        <v>1.5E-3</v>
      </c>
      <c r="AM28" s="1">
        <v>1.8856763488827999</v>
      </c>
    </row>
    <row r="29" spans="1:39" x14ac:dyDescent="0.25">
      <c r="A29" s="1" t="str" cm="1">
        <f t="array" ref="A29">SQLupdate("FundamentalAnalysis", 1, "NULL", FundamentalAnalysis[[#This Row],[Ticker]], FundamentalAnalysis[[#This Row],[CompanyId]])</f>
        <v>UPDATE FundamentalAnalysis SET CompanyId = "ef8f2244ebbf47a19e0b81fa78a968b9" WHERE (Ticker = "AWRD.ST");</v>
      </c>
      <c r="B29" s="1" t="str" cm="1">
        <f t="array" ref="B29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AWRD.ST",289,"2020-12-31",88.7030302795031,263.674642429513,51.8204946933333,13.4488649496544,64.9748746489234,12.8197377692998,70.729731933423,24.0245242119966,0.144524236983842,0.155983686071619,7.17920470045116E-02,1.204054,0.225031002575599,1.45749121603464E-02,0.737868758469718,1.01309536381878,2.73866666666667E-02,0.29017235379937,0.073224555302929,213759540.61,-0.805869818776878,9.88773684402166E-02,0.691325119305857,0.288124528193984,0.149952378580519,0.318965986035069,0.0072000003,56.0531291133461);</v>
      </c>
      <c r="C29" s="9" t="s">
        <v>339</v>
      </c>
      <c r="D29" s="1" t="s">
        <v>98</v>
      </c>
      <c r="E29" s="15" t="s">
        <v>97</v>
      </c>
      <c r="F29" s="1">
        <v>289</v>
      </c>
      <c r="G29" s="15" t="s">
        <v>96</v>
      </c>
      <c r="H29" s="15" t="s">
        <v>49</v>
      </c>
      <c r="I29" s="15" t="s">
        <v>48</v>
      </c>
      <c r="J29" s="15" t="s">
        <v>48</v>
      </c>
      <c r="K29" s="1" t="s">
        <v>17</v>
      </c>
      <c r="L29" s="1">
        <v>88.703030279503096</v>
      </c>
      <c r="M29" s="1">
        <v>263.67464242951303</v>
      </c>
      <c r="N29" s="1">
        <v>51.820494693333302</v>
      </c>
      <c r="O29" s="1">
        <v>13.4488649496544</v>
      </c>
      <c r="P29" s="1">
        <v>64.974874648923404</v>
      </c>
      <c r="Q29" s="1">
        <v>12.819737769299801</v>
      </c>
      <c r="R29" s="1">
        <v>70.729731933422997</v>
      </c>
      <c r="S29" s="1">
        <v>24.024524211996599</v>
      </c>
      <c r="T29" s="1">
        <v>0.14452423698384201</v>
      </c>
      <c r="U29" s="1">
        <v>0.155983686071619</v>
      </c>
      <c r="V29" s="1">
        <v>7.1792047004511597E-2</v>
      </c>
      <c r="W29" s="1">
        <v>1.204054</v>
      </c>
      <c r="X29" s="1">
        <v>0.22503100257559899</v>
      </c>
      <c r="Y29" s="1">
        <v>1.45749121603464E-2</v>
      </c>
      <c r="Z29" s="1">
        <v>0.737868758469718</v>
      </c>
      <c r="AA29" s="1">
        <v>1.0130953638187801</v>
      </c>
      <c r="AB29" s="1">
        <v>2.7386666666666701E-2</v>
      </c>
      <c r="AC29" s="1">
        <v>0.29017235379937001</v>
      </c>
      <c r="AD29" s="1">
        <v>7.3224555302928998E-2</v>
      </c>
      <c r="AE29" s="1">
        <v>213759540.61000001</v>
      </c>
      <c r="AF29" s="1">
        <v>-0.80586981877687802</v>
      </c>
      <c r="AG29" s="1">
        <v>9.8877368440216606E-2</v>
      </c>
      <c r="AH29" s="1">
        <v>0.69132511930585705</v>
      </c>
      <c r="AI29" s="1">
        <v>0.28812452819398399</v>
      </c>
      <c r="AJ29" s="1">
        <v>0.14995237858051899</v>
      </c>
      <c r="AK29" s="1">
        <v>0.31896598603506898</v>
      </c>
      <c r="AL29" s="1">
        <v>7.2000003000000003E-3</v>
      </c>
      <c r="AM29" s="1">
        <v>56.053129113346102</v>
      </c>
    </row>
    <row r="30" spans="1:39" x14ac:dyDescent="0.25">
      <c r="A30" s="1" t="str" cm="1">
        <f t="array" ref="A30">SQLupdate("FundamentalAnalysis", 1, "NULL", FundamentalAnalysis[[#This Row],[Ticker]], FundamentalAnalysis[[#This Row],[CompanyId]])</f>
        <v>UPDATE FundamentalAnalysis SET CompanyId = "65312d400e2c4e238d330ef147e6ab13" WHERE (Ticker = "NWL.MI");</v>
      </c>
      <c r="B30" s="1" t="str" cm="1">
        <f t="array" ref="B30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NWL.MI",7.34,"2020-12-31",8.23470199001113,28.6723390773226,6.72260354788136,6.95127110460296,6.45025838158627,2.23112069412796,18.1836336571429,11.1914903391778,0.270941279579316,0.165978069785418,7.19476297665793E-02,0.413756,0.592019165444989,0.572341993854951,0.642231040147805,2.67163540753725,-0.111440414062668,-0.683273299211251,6.43944857713944E-02,272331392.43,0.736663891958559,0.408830073779131,-0.371376492032692,-0.330265535735105,3.01491722757868,3.41139205792014,0,12.3646995779665);</v>
      </c>
      <c r="C30" s="9" t="s">
        <v>340</v>
      </c>
      <c r="D30" s="1" t="s">
        <v>95</v>
      </c>
      <c r="E30" s="15" t="s">
        <v>94</v>
      </c>
      <c r="F30" s="1">
        <v>7.34</v>
      </c>
      <c r="G30" s="15" t="s">
        <v>93</v>
      </c>
      <c r="H30" s="15" t="s">
        <v>8</v>
      </c>
      <c r="I30" s="15" t="s">
        <v>3</v>
      </c>
      <c r="J30" s="15" t="s">
        <v>3</v>
      </c>
      <c r="K30" s="1" t="s">
        <v>17</v>
      </c>
      <c r="L30" s="1">
        <v>8.2347019900111302</v>
      </c>
      <c r="M30" s="1">
        <v>28.672339077322601</v>
      </c>
      <c r="N30" s="1">
        <v>6.7226035478813602</v>
      </c>
      <c r="O30" s="1">
        <v>6.9512711046029603</v>
      </c>
      <c r="P30" s="1">
        <v>6.45025838158627</v>
      </c>
      <c r="Q30" s="1">
        <v>2.2311206941279602</v>
      </c>
      <c r="R30" s="1">
        <v>18.183633657142899</v>
      </c>
      <c r="S30" s="1">
        <v>11.1914903391778</v>
      </c>
      <c r="T30" s="1">
        <v>0.27094127957931602</v>
      </c>
      <c r="U30" s="1">
        <v>0.16597806978541799</v>
      </c>
      <c r="V30" s="1">
        <v>7.1947629766579299E-2</v>
      </c>
      <c r="W30" s="1">
        <v>0.41375600000000001</v>
      </c>
      <c r="X30" s="1">
        <v>0.592019165444989</v>
      </c>
      <c r="Y30" s="1">
        <v>0.57234199385495099</v>
      </c>
      <c r="Z30" s="1">
        <v>0.64223104014780497</v>
      </c>
      <c r="AA30" s="1">
        <v>2.6716354075372499</v>
      </c>
      <c r="AB30" s="1">
        <v>-0.111440414062668</v>
      </c>
      <c r="AC30" s="1">
        <v>-0.68327329921125102</v>
      </c>
      <c r="AD30" s="1">
        <v>6.4394485771394394E-2</v>
      </c>
      <c r="AE30" s="1">
        <v>272331392.43000001</v>
      </c>
      <c r="AF30" s="1">
        <v>0.73666389195855897</v>
      </c>
      <c r="AG30" s="1">
        <v>0.408830073779131</v>
      </c>
      <c r="AH30" s="1">
        <v>-0.37137649203269202</v>
      </c>
      <c r="AI30" s="1">
        <v>-0.33026553573510498</v>
      </c>
      <c r="AJ30" s="1">
        <v>3.01491722757868</v>
      </c>
      <c r="AK30" s="1">
        <v>3.41139205792014</v>
      </c>
      <c r="AL30" s="1">
        <v>0</v>
      </c>
      <c r="AM30" s="1">
        <v>12.364699577966499</v>
      </c>
    </row>
    <row r="31" spans="1:39" x14ac:dyDescent="0.25">
      <c r="A31" s="1" t="str" cm="1">
        <f t="array" ref="A31">SQLupdate("FundamentalAnalysis", 1, "NULL", FundamentalAnalysis[[#This Row],[Ticker]], FundamentalAnalysis[[#This Row],[CompanyId]])</f>
        <v>UPDATE FundamentalAnalysis SET CompanyId = "8de77400321f4b3ab235689d4cc1ea1d" WHERE (Ticker = "GEO");</v>
      </c>
      <c r="B31" s="1" t="str" cm="1">
        <f t="array" ref="B31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GEO",5.25,"2021-12-31",8.30954474734558,5.53194761661836,7.15316206035768,10.6223556952529,9.92724798545994,0.659792593403595,1.93224563275494,13.3789301662087,7.94017739196075E-02,7.74983491905623E-02,1.70621641254214E-02,0.68996,0.536589370998021,0.78732230292519,0.106344837962807,3.65367542686479,5.71485264953596,6.28471660871947,0.401697891908329,3199373335.25,2.83991266338622,5.0997270528781E-03,0.195463298887533,0.075750179770209,-0.116043380447344,,0,19.1031815090801);</v>
      </c>
      <c r="C31" s="9" t="s">
        <v>325</v>
      </c>
      <c r="D31" s="1" t="s">
        <v>6</v>
      </c>
      <c r="E31" s="15" t="s">
        <v>92</v>
      </c>
      <c r="F31" s="1">
        <v>5.25</v>
      </c>
      <c r="G31" s="15" t="s">
        <v>91</v>
      </c>
      <c r="H31" s="15" t="s">
        <v>13</v>
      </c>
      <c r="I31" s="15" t="s">
        <v>12</v>
      </c>
      <c r="J31" s="15" t="s">
        <v>12</v>
      </c>
      <c r="K31" s="1" t="s">
        <v>21</v>
      </c>
      <c r="L31" s="1">
        <v>8.3095447473455799</v>
      </c>
      <c r="M31" s="1">
        <v>5.5319476166183597</v>
      </c>
      <c r="N31" s="1">
        <v>7.1531620603576798</v>
      </c>
      <c r="O31" s="1">
        <v>10.622355695252899</v>
      </c>
      <c r="P31" s="1">
        <v>9.9272479854599407</v>
      </c>
      <c r="Q31" s="1">
        <v>0.65979259340359497</v>
      </c>
      <c r="R31" s="1">
        <v>1.93224563275494</v>
      </c>
      <c r="S31" s="1">
        <v>13.378930166208701</v>
      </c>
      <c r="T31" s="1">
        <v>7.9401773919607496E-2</v>
      </c>
      <c r="U31" s="1">
        <v>7.7498349190562296E-2</v>
      </c>
      <c r="V31" s="1">
        <v>1.70621641254214E-2</v>
      </c>
      <c r="W31" s="1">
        <v>0.68996000000000002</v>
      </c>
      <c r="X31" s="1">
        <v>0.53658937099802095</v>
      </c>
      <c r="Y31" s="1">
        <v>0.78732230292519001</v>
      </c>
      <c r="Z31" s="1">
        <v>0.106344837962807</v>
      </c>
      <c r="AA31" s="1">
        <v>3.65367542686479</v>
      </c>
      <c r="AB31" s="1">
        <v>5.7148526495359597</v>
      </c>
      <c r="AC31" s="1">
        <v>6.2847166087194699</v>
      </c>
      <c r="AD31" s="1">
        <v>0.401697891908329</v>
      </c>
      <c r="AE31" s="1">
        <v>3199373335.25</v>
      </c>
      <c r="AF31" s="1">
        <v>2.8399126633862202</v>
      </c>
      <c r="AG31" s="1">
        <v>5.0997270528781004E-3</v>
      </c>
      <c r="AH31" s="1">
        <v>0.195463298887533</v>
      </c>
      <c r="AI31" s="1">
        <v>7.5750179770208995E-2</v>
      </c>
      <c r="AJ31" s="1">
        <v>-0.116043380447344</v>
      </c>
      <c r="AL31" s="1">
        <v>0</v>
      </c>
      <c r="AM31" s="1">
        <v>19.103181509080098</v>
      </c>
    </row>
    <row r="32" spans="1:39" x14ac:dyDescent="0.25">
      <c r="A32" s="1" t="str" cm="1">
        <f t="array" ref="A32">SQLupdate("FundamentalAnalysis", 1, "NULL", FundamentalAnalysis[[#This Row],[Ticker]], FundamentalAnalysis[[#This Row],[CompanyId]])</f>
        <v>UPDATE FundamentalAnalysis SET CompanyId = "63c50a9fbaad4e369da1f59e3f0b3987" WHERE (Ticker = "BB.PA");</v>
      </c>
      <c r="B32" s="1" t="str" cm="1">
        <f t="array" ref="B32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BB.PA",49.36,"2020-12-31",23.6869083359652,14.2658873286672,5.98617106729872,7.93205437930347,12.9603967507865,1.52452932333842,8.08604520427899,16.8766610955724,6.43616845945085E-02,9.37012677633673E-02,4.32020119514934E-02,0.676041,0.240315461350016,0.11970233956715,0.649224371449242,0.489784426400624,-0.426899267129441,-0.322619562033476,0.028494411818051,1802858193.2856,0.564274578391593,-8.85009559156549E-02,0.11720713889942,-1.43111281621412E-02,-0.20151858339548,-4.53766929335338E-02,0.0356,79.5289709850913);</v>
      </c>
      <c r="C32" s="9" t="s">
        <v>326</v>
      </c>
      <c r="D32" s="1" t="s">
        <v>90</v>
      </c>
      <c r="E32" s="15" t="s">
        <v>89</v>
      </c>
      <c r="F32" s="1">
        <v>49.36</v>
      </c>
      <c r="G32" s="15" t="s">
        <v>39</v>
      </c>
      <c r="H32" s="15" t="s">
        <v>9</v>
      </c>
      <c r="I32" s="15" t="s">
        <v>3</v>
      </c>
      <c r="J32" s="15" t="s">
        <v>3</v>
      </c>
      <c r="K32" s="1" t="s">
        <v>17</v>
      </c>
      <c r="L32" s="1">
        <v>23.6869083359652</v>
      </c>
      <c r="M32" s="1">
        <v>14.265887328667199</v>
      </c>
      <c r="N32" s="1">
        <v>5.9861710672987201</v>
      </c>
      <c r="O32" s="1">
        <v>7.9320543793034703</v>
      </c>
      <c r="P32" s="1">
        <v>12.960396750786501</v>
      </c>
      <c r="Q32" s="1">
        <v>1.5245293233384201</v>
      </c>
      <c r="R32" s="1">
        <v>8.0860452042789905</v>
      </c>
      <c r="S32" s="1">
        <v>16.876661095572398</v>
      </c>
      <c r="T32" s="1">
        <v>6.43616845945085E-2</v>
      </c>
      <c r="U32" s="1">
        <v>9.3701267763367305E-2</v>
      </c>
      <c r="V32" s="1">
        <v>4.3202011951493403E-2</v>
      </c>
      <c r="W32" s="1">
        <v>0.676041</v>
      </c>
      <c r="X32" s="1">
        <v>0.240315461350016</v>
      </c>
      <c r="Y32" s="1">
        <v>0.11970233956715</v>
      </c>
      <c r="Z32" s="1">
        <v>0.64922437144924205</v>
      </c>
      <c r="AA32" s="1">
        <v>0.48978442640062397</v>
      </c>
      <c r="AB32" s="1">
        <v>-0.42689926712944098</v>
      </c>
      <c r="AC32" s="1">
        <v>-0.32261956203347603</v>
      </c>
      <c r="AD32" s="1">
        <v>2.8494411818050999E-2</v>
      </c>
      <c r="AE32" s="1">
        <v>1802858193.2855999</v>
      </c>
      <c r="AF32" s="1">
        <v>0.56427457839159301</v>
      </c>
      <c r="AG32" s="1">
        <v>-8.8500955915654905E-2</v>
      </c>
      <c r="AH32" s="1">
        <v>0.11720713889942</v>
      </c>
      <c r="AI32" s="1">
        <v>-1.4311128162141201E-2</v>
      </c>
      <c r="AJ32" s="1">
        <v>-0.20151858339548001</v>
      </c>
      <c r="AK32" s="1">
        <v>-4.5376692933533802E-2</v>
      </c>
      <c r="AL32" s="1">
        <v>3.56E-2</v>
      </c>
      <c r="AM32" s="1">
        <v>79.528970985091306</v>
      </c>
    </row>
    <row r="33" spans="1:39" x14ac:dyDescent="0.25">
      <c r="A33" s="1" t="str" cm="1">
        <f t="array" ref="A33">SQLupdate("FundamentalAnalysis", 1, "NULL", FundamentalAnalysis[[#This Row],[Ticker]], FundamentalAnalysis[[#This Row],[CompanyId]])</f>
        <v>UPDATE FundamentalAnalysis SET CompanyId = "bf0d571c423e42638ae8033706dd413a" WHERE (Ticker = "FB");</v>
      </c>
      <c r="B33" s="1" t="str" cm="1">
        <f t="array" ref="B33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FB",214.72,"2021-12-31",14.9491369062738,24.1950924412746,10.6784454976303,16.3242239896834,12.5300947532779,4.71294228813492,38.3193905853246,36.464592576105,0.315265176691037,0.322763924557479,0.237187249603885,1.28543,0.249017490174902,2.82067283199154E-02,0.514133501994746,0.329182648804042,-4.97265767407948E-02,-0.204747050503362,-1.13575599426775E-02,585819520000,-1.7270101841641E-03,0.280520436149575,-0.129790115098172,-9.15141817431027E-02,0.282357995658466,0.177698004207924,0,214.349176373256);</v>
      </c>
      <c r="C33" s="9" t="s">
        <v>341</v>
      </c>
      <c r="D33" s="1" t="s">
        <v>88</v>
      </c>
      <c r="E33" s="15" t="s">
        <v>87</v>
      </c>
      <c r="F33" s="1">
        <v>214.72</v>
      </c>
      <c r="G33" s="15" t="s">
        <v>42</v>
      </c>
      <c r="H33" s="15" t="s">
        <v>13</v>
      </c>
      <c r="I33" s="15" t="s">
        <v>12</v>
      </c>
      <c r="J33" s="15" t="s">
        <v>12</v>
      </c>
      <c r="K33" s="1" t="s">
        <v>21</v>
      </c>
      <c r="L33" s="1">
        <v>14.9491369062738</v>
      </c>
      <c r="M33" s="1">
        <v>24.1950924412746</v>
      </c>
      <c r="N33" s="1">
        <v>10.6784454976303</v>
      </c>
      <c r="O33" s="1">
        <v>16.3242239896834</v>
      </c>
      <c r="P33" s="1">
        <v>12.530094753277901</v>
      </c>
      <c r="Q33" s="1">
        <v>4.7129422881349203</v>
      </c>
      <c r="R33" s="1">
        <v>38.319390585324598</v>
      </c>
      <c r="S33" s="1">
        <v>36.464592576104998</v>
      </c>
      <c r="T33" s="1">
        <v>0.31526517669103699</v>
      </c>
      <c r="U33" s="1">
        <v>0.32276392455747899</v>
      </c>
      <c r="V33" s="1">
        <v>0.23718724960388499</v>
      </c>
      <c r="W33" s="1">
        <v>1.2854300000000001</v>
      </c>
      <c r="X33" s="1">
        <v>0.24901749017490199</v>
      </c>
      <c r="Y33" s="1">
        <v>2.82067283199154E-2</v>
      </c>
      <c r="Z33" s="1">
        <v>0.51413350199474595</v>
      </c>
      <c r="AA33" s="1">
        <v>0.32918264880404202</v>
      </c>
      <c r="AB33" s="1">
        <v>-4.9726576740794802E-2</v>
      </c>
      <c r="AC33" s="1">
        <v>-0.204747050503362</v>
      </c>
      <c r="AD33" s="1">
        <v>-1.13575599426775E-2</v>
      </c>
      <c r="AE33" s="1">
        <v>585819520000</v>
      </c>
      <c r="AF33" s="1">
        <v>-1.7270101841640999E-3</v>
      </c>
      <c r="AG33" s="1">
        <v>0.280520436149575</v>
      </c>
      <c r="AH33" s="1">
        <v>-0.12979011509817201</v>
      </c>
      <c r="AI33" s="1">
        <v>-9.1514181743102704E-2</v>
      </c>
      <c r="AJ33" s="1">
        <v>0.28235799565846598</v>
      </c>
      <c r="AK33" s="1">
        <v>0.177698004207924</v>
      </c>
      <c r="AL33" s="1">
        <v>0</v>
      </c>
      <c r="AM33" s="1">
        <v>214.349176373256</v>
      </c>
    </row>
    <row r="34" spans="1:39" x14ac:dyDescent="0.25">
      <c r="A34" s="1" t="str" cm="1">
        <f t="array" ref="A34">SQLupdate("FundamentalAnalysis", 1, "NULL", FundamentalAnalysis[[#This Row],[Ticker]], FundamentalAnalysis[[#This Row],[CompanyId]])</f>
        <v>UPDATE FundamentalAnalysis SET CompanyId = "bc23f6487b114876a47f2af39171d75a" WHERE (Ticker = "ICP1V.HE");</v>
      </c>
      <c r="B34" s="1" t="str" cm="1">
        <f t="array" ref="B34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ICP1V.HE",70.1,"2020-12-31",44.2609787806466,54.0161744145256,25.6708082540467,5.31555536273497,34.3877929653232,10.5750940203727,210.525130237358,24.1513102389042,0.238925896166507,0.256077143159902,0.120709749230669,1.855382,7.45820421592257E-02,9.55642636481671E-03,0.772284564895194,0.979342163240974,0.463981218336834,0.29896232077285,4.75875196557146E-02,361491701.088,-0.75988407535116,0.402028533214445,5.74112734864294E-03,-6.07347632193672E-02,0.288267487600479,0.725727538441988,0,16.3271625283472);</v>
      </c>
      <c r="C34" s="9" t="s">
        <v>342</v>
      </c>
      <c r="D34" s="1" t="s">
        <v>86</v>
      </c>
      <c r="E34" s="15" t="s">
        <v>85</v>
      </c>
      <c r="F34" s="1">
        <v>70.099999999999994</v>
      </c>
      <c r="G34" s="15" t="s">
        <v>84</v>
      </c>
      <c r="H34" s="15" t="s">
        <v>83</v>
      </c>
      <c r="I34" s="15" t="s">
        <v>3</v>
      </c>
      <c r="J34" s="15" t="s">
        <v>3</v>
      </c>
      <c r="K34" s="1" t="s">
        <v>17</v>
      </c>
      <c r="L34" s="1">
        <v>44.260978780646603</v>
      </c>
      <c r="M34" s="1">
        <v>54.016174414525601</v>
      </c>
      <c r="N34" s="1">
        <v>25.670808254046701</v>
      </c>
      <c r="O34" s="1">
        <v>5.3155553627349699</v>
      </c>
      <c r="P34" s="1">
        <v>34.3877929653232</v>
      </c>
      <c r="Q34" s="1">
        <v>10.575094020372701</v>
      </c>
      <c r="R34" s="1">
        <v>210.52513023735801</v>
      </c>
      <c r="S34" s="1">
        <v>24.151310238904198</v>
      </c>
      <c r="T34" s="1">
        <v>0.238925896166507</v>
      </c>
      <c r="U34" s="1">
        <v>0.25607714315990199</v>
      </c>
      <c r="V34" s="1">
        <v>0.120709749230669</v>
      </c>
      <c r="W34" s="1">
        <v>1.8553820000000001</v>
      </c>
      <c r="X34" s="1">
        <v>7.4582042159225703E-2</v>
      </c>
      <c r="Y34" s="1">
        <v>9.5564263648167096E-3</v>
      </c>
      <c r="Z34" s="1">
        <v>0.77228456489519404</v>
      </c>
      <c r="AA34" s="1">
        <v>0.97934216324097401</v>
      </c>
      <c r="AB34" s="1">
        <v>0.46398121833683398</v>
      </c>
      <c r="AC34" s="1">
        <v>0.29896232077285001</v>
      </c>
      <c r="AD34" s="1">
        <v>4.7587519655714602E-2</v>
      </c>
      <c r="AE34" s="1">
        <v>361491701.088</v>
      </c>
      <c r="AF34" s="1">
        <v>-0.75988407535115998</v>
      </c>
      <c r="AG34" s="1">
        <v>0.40202853321444498</v>
      </c>
      <c r="AH34" s="1">
        <v>5.7411273486429404E-3</v>
      </c>
      <c r="AI34" s="1">
        <v>-6.0734763219367202E-2</v>
      </c>
      <c r="AJ34" s="1">
        <v>0.28826748760047899</v>
      </c>
      <c r="AK34" s="1">
        <v>0.72572753844198801</v>
      </c>
      <c r="AL34" s="1">
        <v>0</v>
      </c>
      <c r="AM34" s="1">
        <v>16.327162528347198</v>
      </c>
    </row>
    <row r="35" spans="1:39" x14ac:dyDescent="0.25">
      <c r="A35" s="1" t="str" cm="1">
        <f t="array" ref="A35">SQLupdate("FundamentalAnalysis", 1, "NULL", FundamentalAnalysis[[#This Row],[Ticker]], FundamentalAnalysis[[#This Row],[CompanyId]])</f>
        <v>UPDATE FundamentalAnalysis SET CompanyId = "d6158b0024404f8a9e94999fa667f572" WHERE (Ticker = "TIXT");</v>
      </c>
      <c r="B35" s="1" t="str" cm="1">
        <f t="array" ref="B35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TIXT",26.43,"2020-12-31",68.4366373673469,106.670309758275,22.9828199285714,,44.1823888979071,6.33912141965974,153.089782284783,,9.26275992438563E-02,0.06046856190388,0.027478102969451,1,0.278183144837651,2.16553798811816E-02,0.191768859865599,2.37096048249167,4.28359001593202,2.63270867037045,0.231750893312915,8655329985.1,-0.647086046892519,0.757009345794392,-0.387144259077527,-0.322243346007605,0.592356687898089,2.32384341637011,0,8.58131451818028);</v>
      </c>
      <c r="C35" s="9" t="s">
        <v>343</v>
      </c>
      <c r="D35" s="1" t="s">
        <v>82</v>
      </c>
      <c r="E35" s="15" t="s">
        <v>81</v>
      </c>
      <c r="F35" s="1">
        <v>26.43</v>
      </c>
      <c r="G35" s="15" t="s">
        <v>36</v>
      </c>
      <c r="H35" s="15" t="s">
        <v>35</v>
      </c>
      <c r="I35" s="15" t="s">
        <v>12</v>
      </c>
      <c r="J35" s="15" t="s">
        <v>12</v>
      </c>
      <c r="K35" s="1" t="s">
        <v>17</v>
      </c>
      <c r="L35" s="1">
        <v>68.436637367346904</v>
      </c>
      <c r="M35" s="1">
        <v>106.670309758275</v>
      </c>
      <c r="N35" s="1">
        <v>22.982819928571399</v>
      </c>
      <c r="P35" s="1">
        <v>44.182388897907103</v>
      </c>
      <c r="Q35" s="1">
        <v>6.3391214196597403</v>
      </c>
      <c r="R35" s="1">
        <v>153.08978228478301</v>
      </c>
      <c r="T35" s="1">
        <v>9.2627599243856301E-2</v>
      </c>
      <c r="U35" s="1">
        <v>6.0468561903880003E-2</v>
      </c>
      <c r="V35" s="1">
        <v>2.7478102969450999E-2</v>
      </c>
      <c r="W35" s="1">
        <v>1</v>
      </c>
      <c r="X35" s="1">
        <v>0.278183144837651</v>
      </c>
      <c r="Y35" s="1">
        <v>2.1655379881181599E-2</v>
      </c>
      <c r="Z35" s="1">
        <v>0.191768859865599</v>
      </c>
      <c r="AA35" s="1">
        <v>2.3709604824916699</v>
      </c>
      <c r="AB35" s="1">
        <v>4.2835900159320204</v>
      </c>
      <c r="AC35" s="1">
        <v>2.6327086703704499</v>
      </c>
      <c r="AD35" s="1">
        <v>0.23175089331291501</v>
      </c>
      <c r="AE35" s="1">
        <v>8655329985.1000004</v>
      </c>
      <c r="AF35" s="1">
        <v>-0.64708604689251903</v>
      </c>
      <c r="AG35" s="1">
        <v>0.75700934579439205</v>
      </c>
      <c r="AH35" s="1">
        <v>-0.38714425907752698</v>
      </c>
      <c r="AI35" s="1">
        <v>-0.32224334600760501</v>
      </c>
      <c r="AJ35" s="1">
        <v>0.59235668789808904</v>
      </c>
      <c r="AK35" s="1">
        <v>2.32384341637011</v>
      </c>
      <c r="AL35" s="1">
        <v>0</v>
      </c>
      <c r="AM35" s="1">
        <v>8.5813145181802799</v>
      </c>
    </row>
    <row r="36" spans="1:39" x14ac:dyDescent="0.25">
      <c r="A36" s="1" t="str" cm="1">
        <f t="array" ref="A36">SQLupdate("FundamentalAnalysis", 1, "NULL", FundamentalAnalysis[[#This Row],[Ticker]], FundamentalAnalysis[[#This Row],[CompanyId]])</f>
        <v>UPDATE FundamentalAnalysis SET CompanyId = "1de3228eab6b463b9d188f9d658da5ef" WHERE (Ticker = "CY4.MI");</v>
      </c>
      <c r="B36" s="1" t="str" cm="1">
        <f t="array" ref="B36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CY4.MI",11.06,"2020-12-31",33.1361476222367,74.2383271051804,23.030536803235,9.27956125483082,30.7963321802431,6.37320325800917,100,100,0.192333862423171,0.187824326263251,0.152749209476862,1,0.363863212887291,6.01716998191682E-02,0.836680701474552,0.259148005294945,-1.31438093471571,-1.17803963064836,1.66764747032129E-02,136540468.29,-40.0885759169673,-7.128953307393,-0.223834439497382,1.46784622500508,-3.09948961578401,3.30345791934541,0,-419.350060152408);</v>
      </c>
      <c r="C36" s="9" t="s">
        <v>344</v>
      </c>
      <c r="D36" s="1" t="s">
        <v>80</v>
      </c>
      <c r="E36" s="15" t="s">
        <v>79</v>
      </c>
      <c r="F36" s="1">
        <v>11.06</v>
      </c>
      <c r="G36" s="15" t="s">
        <v>36</v>
      </c>
      <c r="H36" s="15" t="s">
        <v>8</v>
      </c>
      <c r="I36" s="15" t="s">
        <v>3</v>
      </c>
      <c r="J36" s="15" t="s">
        <v>3</v>
      </c>
      <c r="K36" s="1" t="s">
        <v>17</v>
      </c>
      <c r="L36" s="1">
        <v>33.136147622236699</v>
      </c>
      <c r="M36" s="1">
        <v>74.238327105180403</v>
      </c>
      <c r="N36" s="1">
        <v>23.030536803235002</v>
      </c>
      <c r="O36" s="1">
        <v>9.2795612548308206</v>
      </c>
      <c r="P36" s="1">
        <v>30.796332180243098</v>
      </c>
      <c r="Q36" s="1">
        <v>6.3732032580091698</v>
      </c>
      <c r="R36" s="1">
        <v>100</v>
      </c>
      <c r="S36" s="1">
        <v>100</v>
      </c>
      <c r="T36" s="1">
        <v>0.19233386242317099</v>
      </c>
      <c r="U36" s="1">
        <v>0.18782432626325099</v>
      </c>
      <c r="V36" s="1">
        <v>0.15274920947686199</v>
      </c>
      <c r="W36" s="1">
        <v>1</v>
      </c>
      <c r="X36" s="1">
        <v>0.36386321288729101</v>
      </c>
      <c r="Y36" s="1">
        <v>6.0171699819168201E-2</v>
      </c>
      <c r="Z36" s="1">
        <v>0.83668070147455198</v>
      </c>
      <c r="AA36" s="1">
        <v>0.25914800529494503</v>
      </c>
      <c r="AB36" s="1">
        <v>-1.31438093471571</v>
      </c>
      <c r="AC36" s="1">
        <v>-1.17803963064836</v>
      </c>
      <c r="AD36" s="1">
        <v>1.6676474703212901E-2</v>
      </c>
      <c r="AE36" s="1">
        <v>136540468.28999999</v>
      </c>
      <c r="AF36" s="1">
        <v>-40.088575916967301</v>
      </c>
      <c r="AG36" s="1">
        <v>-7.128953307393</v>
      </c>
      <c r="AH36" s="1">
        <v>-0.22383443949738199</v>
      </c>
      <c r="AI36" s="1">
        <v>1.4678462250050801</v>
      </c>
      <c r="AJ36" s="1">
        <v>-3.0994896157840102</v>
      </c>
      <c r="AK36" s="1">
        <v>3.3034579193454099</v>
      </c>
      <c r="AL36" s="1">
        <v>0</v>
      </c>
      <c r="AM36" s="1">
        <v>-419.35006015240799</v>
      </c>
    </row>
    <row r="37" spans="1:39" x14ac:dyDescent="0.25">
      <c r="A37" s="1" t="str" cm="1">
        <f t="array" ref="A37">SQLupdate("FundamentalAnalysis", 1, "NULL", FundamentalAnalysis[[#This Row],[Ticker]], FundamentalAnalysis[[#This Row],[CompanyId]])</f>
        <v>UPDATE FundamentalAnalysis SET CompanyId = "6563ce6a01e344c4b9448a05388f7562" WHERE (Ticker = "VOLO.ST");</v>
      </c>
      <c r="B37" s="1" t="str" cm="1">
        <f t="array" ref="B37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VOLO.ST",193.6,"2020-12-31",16.218823983454,95.5104904473199,18.660331915493,6.98662103475577,38.7770799804878,4.87219720161541,42.9687747726027,6.85989020132788,0.30040385212799,8.46757538207352E-02,0.148632031970489,1.500803,0.389392413561598,7.39625974582639E-02,0.50871293182513,1.0161540851196,0.252347417840376,1.51635810626999,0.170731707317073,1748846307.12,-0.487224203299075,0.21118530884808,-0.292613636363636,-0.265690376569038,1.27757352941176,0.128956623681125,0.0061000003,99.2733942412991);</v>
      </c>
      <c r="C37" s="9" t="s">
        <v>345</v>
      </c>
      <c r="D37" s="1" t="s">
        <v>78</v>
      </c>
      <c r="E37" s="15" t="s">
        <v>77</v>
      </c>
      <c r="F37" s="1">
        <v>193.6</v>
      </c>
      <c r="G37" s="15" t="s">
        <v>76</v>
      </c>
      <c r="H37" s="15" t="s">
        <v>49</v>
      </c>
      <c r="I37" s="15" t="s">
        <v>48</v>
      </c>
      <c r="J37" s="15" t="s">
        <v>48</v>
      </c>
      <c r="K37" s="1" t="s">
        <v>17</v>
      </c>
      <c r="L37" s="1">
        <v>16.218823983454001</v>
      </c>
      <c r="M37" s="1">
        <v>95.510490447319896</v>
      </c>
      <c r="N37" s="1">
        <v>18.660331915493</v>
      </c>
      <c r="O37" s="1">
        <v>6.9866210347557702</v>
      </c>
      <c r="P37" s="1">
        <v>38.777079980487798</v>
      </c>
      <c r="Q37" s="1">
        <v>4.8721972016154096</v>
      </c>
      <c r="R37" s="1">
        <v>42.9687747726027</v>
      </c>
      <c r="S37" s="1">
        <v>6.8598902013278797</v>
      </c>
      <c r="T37" s="1">
        <v>0.30040385212798998</v>
      </c>
      <c r="U37" s="1">
        <v>8.4675753820735195E-2</v>
      </c>
      <c r="V37" s="1">
        <v>0.14863203197048899</v>
      </c>
      <c r="W37" s="1">
        <v>1.5008030000000001</v>
      </c>
      <c r="X37" s="1">
        <v>0.38939241356159798</v>
      </c>
      <c r="Y37" s="1">
        <v>7.3962597458263904E-2</v>
      </c>
      <c r="Z37" s="1">
        <v>0.50871293182513</v>
      </c>
      <c r="AA37" s="1">
        <v>1.0161540851196</v>
      </c>
      <c r="AB37" s="1">
        <v>0.25234741784037601</v>
      </c>
      <c r="AC37" s="1">
        <v>1.51635810626999</v>
      </c>
      <c r="AD37" s="1">
        <v>0.17073170731707299</v>
      </c>
      <c r="AE37" s="1">
        <v>1748846307.1199999</v>
      </c>
      <c r="AF37" s="1">
        <v>-0.48722420329907501</v>
      </c>
      <c r="AG37" s="1">
        <v>0.21118530884808001</v>
      </c>
      <c r="AH37" s="1">
        <v>-0.29261363636363602</v>
      </c>
      <c r="AI37" s="1">
        <v>-0.26569037656903799</v>
      </c>
      <c r="AJ37" s="1">
        <v>1.2775735294117601</v>
      </c>
      <c r="AK37" s="1">
        <v>0.12895662368112501</v>
      </c>
      <c r="AL37" s="1">
        <v>6.1000003000000001E-3</v>
      </c>
      <c r="AM37" s="1">
        <v>99.273394241299101</v>
      </c>
    </row>
    <row r="38" spans="1:39" x14ac:dyDescent="0.25">
      <c r="A38" s="1" t="str" cm="1">
        <f t="array" ref="A38">SQLupdate("FundamentalAnalysis", 1, "NULL", FundamentalAnalysis[[#This Row],[Ticker]], FundamentalAnalysis[[#This Row],[CompanyId]])</f>
        <v>UPDATE FundamentalAnalysis SET CompanyId = "4182c87932a54d4f925af780f5f85813" WHERE (Ticker = "D6H.DE");</v>
      </c>
      <c r="B38" s="1" t="str" cm="1">
        <f t="array" ref="B38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D6H.DE",84.2,"2020-09-30",2820.29593556861,974.374248366499,18.3797265912292,10.4545172845961,81.8701952188442,10.6045643638923,167.718165282812,103.754668811485,3.76008922686132E-03,3.53035883846509E-02,6.45477381678171E-04,1.055704,0.396706704454458,9.11422415419462E-02,0.354576811744065,4.82528425254111,1.98946322300002,1.3154607416793,0.311819859545013,684392938.9524,-0.670471148484468,0.12219283405275,-4.26367161408553,-6.21275864420615E-02,-0.490339085773558,-8.20042742729629E-03,0.0119,25.5682424477456);</v>
      </c>
      <c r="C38" s="9" t="s">
        <v>346</v>
      </c>
      <c r="D38" s="1" t="s">
        <v>75</v>
      </c>
      <c r="E38" s="15" t="s">
        <v>74</v>
      </c>
      <c r="F38" s="1">
        <v>84.2</v>
      </c>
      <c r="G38" s="15" t="s">
        <v>73</v>
      </c>
      <c r="H38" s="15" t="s">
        <v>7</v>
      </c>
      <c r="I38" s="15" t="s">
        <v>3</v>
      </c>
      <c r="J38" s="15" t="s">
        <v>3</v>
      </c>
      <c r="K38" s="1" t="s">
        <v>72</v>
      </c>
      <c r="L38" s="1">
        <v>2820.2959355686098</v>
      </c>
      <c r="M38" s="1">
        <v>974.37424836649905</v>
      </c>
      <c r="N38" s="1">
        <v>18.3797265912292</v>
      </c>
      <c r="O38" s="1">
        <v>10.454517284596101</v>
      </c>
      <c r="P38" s="1">
        <v>81.870195218844202</v>
      </c>
      <c r="Q38" s="1">
        <v>10.604564363892299</v>
      </c>
      <c r="R38" s="1">
        <v>167.71816528281201</v>
      </c>
      <c r="S38" s="1">
        <v>103.754668811485</v>
      </c>
      <c r="T38" s="1">
        <v>3.76008922686132E-3</v>
      </c>
      <c r="U38" s="1">
        <v>3.5303588384650898E-2</v>
      </c>
      <c r="V38" s="1">
        <v>6.4547738167817104E-4</v>
      </c>
      <c r="W38" s="1">
        <v>1.055704</v>
      </c>
      <c r="X38" s="1">
        <v>0.39670670445445799</v>
      </c>
      <c r="Y38" s="1">
        <v>9.1142241541946195E-2</v>
      </c>
      <c r="Z38" s="1">
        <v>0.35457681174406502</v>
      </c>
      <c r="AA38" s="1">
        <v>4.8252842525411097</v>
      </c>
      <c r="AB38" s="1">
        <v>1.98946322300002</v>
      </c>
      <c r="AC38" s="1">
        <v>1.3154607416793</v>
      </c>
      <c r="AD38" s="1">
        <v>0.31181985954501301</v>
      </c>
      <c r="AE38" s="1">
        <v>684392938.95239997</v>
      </c>
      <c r="AF38" s="1">
        <v>-0.67047114848446798</v>
      </c>
      <c r="AG38" s="1">
        <v>0.12219283405275</v>
      </c>
      <c r="AH38" s="1">
        <v>-4.2636716140855304</v>
      </c>
      <c r="AI38" s="1">
        <v>-6.2127586442061497E-2</v>
      </c>
      <c r="AJ38" s="1">
        <v>-0.490339085773558</v>
      </c>
      <c r="AK38" s="1">
        <v>-8.2004274272962901E-3</v>
      </c>
      <c r="AL38" s="1">
        <v>1.1900000000000001E-2</v>
      </c>
      <c r="AM38" s="1">
        <v>25.5682424477456</v>
      </c>
    </row>
    <row r="39" spans="1:39" x14ac:dyDescent="0.25">
      <c r="A39" s="1" t="str" cm="1">
        <f t="array" ref="A39">SQLupdate("FundamentalAnalysis", 1, "NULL", FundamentalAnalysis[[#This Row],[Ticker]], FundamentalAnalysis[[#This Row],[CompanyId]])</f>
        <v>UPDATE FundamentalAnalysis SET CompanyId = "2c55a1111e7041ceb8fb0534c2f5067e" WHERE (Ticker = "MRL.L");</v>
      </c>
      <c r="B39" s="1" t="str" cm="1">
        <f t="array" ref="B39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MRL.L",8.84,"2021-03-31",100,135.092668393333,27.3380610483333,16.7302916371579,1093.52244193333,2.58319462854973,358.11235008421,170.418036653511,-6.4540622627183E-03,1.98675496688742E-03,-4.43169968717414E-03,1.083556,0.416588124410933,6.49605016114817E-02,0.678868552412646,0.456340167046317,-1.0125,0.877169004805147,3.66666666666667,87919204331.44,-0.692392727088096,0.941791044776119,-0.29748427672956,-0.296078431372549,0.699999999999999,1.38274428274428,0,2.37662300768104);</v>
      </c>
      <c r="C39" s="9" t="s">
        <v>347</v>
      </c>
      <c r="D39" s="1" t="s">
        <v>71</v>
      </c>
      <c r="E39" s="15" t="s">
        <v>70</v>
      </c>
      <c r="F39" s="1">
        <v>8.84</v>
      </c>
      <c r="G39" s="15" t="s">
        <v>69</v>
      </c>
      <c r="H39" s="15" t="s">
        <v>10</v>
      </c>
      <c r="I39" s="15" t="s">
        <v>60</v>
      </c>
      <c r="J39" s="15" t="s">
        <v>59</v>
      </c>
      <c r="K39" s="1" t="s">
        <v>28</v>
      </c>
      <c r="L39" s="1">
        <v>100</v>
      </c>
      <c r="M39" s="1">
        <v>135.09266839333301</v>
      </c>
      <c r="N39" s="1">
        <v>27.338061048333302</v>
      </c>
      <c r="O39" s="1">
        <v>16.730291637157901</v>
      </c>
      <c r="P39" s="1">
        <v>1093.5224419333299</v>
      </c>
      <c r="Q39" s="1">
        <v>2.5831946285497298</v>
      </c>
      <c r="R39" s="1">
        <v>358.11235008420999</v>
      </c>
      <c r="S39" s="1">
        <v>170.418036653511</v>
      </c>
      <c r="T39" s="1">
        <v>-6.4540622627183002E-3</v>
      </c>
      <c r="U39" s="1">
        <v>1.9867549668874198E-3</v>
      </c>
      <c r="V39" s="1">
        <v>-4.4316996871741404E-3</v>
      </c>
      <c r="W39" s="1">
        <v>1.083556</v>
      </c>
      <c r="X39" s="1">
        <v>0.41658812441093301</v>
      </c>
      <c r="Y39" s="1">
        <v>6.4960501611481702E-2</v>
      </c>
      <c r="Z39" s="1">
        <v>0.67886855241264599</v>
      </c>
      <c r="AA39" s="1">
        <v>0.45634016704631702</v>
      </c>
      <c r="AB39" s="1">
        <v>-1.0125</v>
      </c>
      <c r="AC39" s="1">
        <v>0.87716900480514703</v>
      </c>
      <c r="AD39" s="1">
        <v>3.6666666666666701</v>
      </c>
      <c r="AE39" s="1">
        <v>87919204331.440002</v>
      </c>
      <c r="AF39" s="1">
        <v>-0.69239272708809596</v>
      </c>
      <c r="AG39" s="1">
        <v>0.94179104477611897</v>
      </c>
      <c r="AH39" s="1">
        <v>-0.29748427672956002</v>
      </c>
      <c r="AI39" s="1">
        <v>-0.29607843137254902</v>
      </c>
      <c r="AJ39" s="1">
        <v>0.69999999999999896</v>
      </c>
      <c r="AK39" s="1">
        <v>1.38274428274428</v>
      </c>
      <c r="AL39" s="1">
        <v>0</v>
      </c>
      <c r="AM39" s="1">
        <v>2.3766230076810402</v>
      </c>
    </row>
    <row r="40" spans="1:39" x14ac:dyDescent="0.25">
      <c r="A40" s="1" t="str" cm="1">
        <f t="array" ref="A40">SQLupdate("FundamentalAnalysis", 1, "NULL", FundamentalAnalysis[[#This Row],[Ticker]], FundamentalAnalysis[[#This Row],[CompanyId]])</f>
        <v>UPDATE FundamentalAnalysis SET CompanyId = "d9c5069a6cff4d2cb297d3e53f61d986" WHERE (Ticker = "SIS.TO");</v>
      </c>
      <c r="B40" s="1" t="str" cm="1">
        <f t="array" ref="B40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SIS.TO",17.97,"2020-12-31",43.2437514363451,41.4552783501542,20.4170959184173,16.9137092120979,30.52029663401,4.09098654852767,85.6428225011226,37.8614450354499,9.46029521640743E-02,9.93565200688386E-02,5.83775269794489E-02,0.669432,0.298233059943854,4.73452660691753E-02,0.392087843715614,0.620537166594573,0.417106504945996,1.16171281558694,9.05504611124174E-02,899533553.5802,-0.547815527191442,0.233676975945017,-0.342157488128145,-0.249351018090371,0.24932042133877,0.204967817053685,0.0278,7.88198232707869);</v>
      </c>
      <c r="C40" s="9" t="s">
        <v>348</v>
      </c>
      <c r="D40" s="1" t="s">
        <v>68</v>
      </c>
      <c r="E40" s="15" t="s">
        <v>67</v>
      </c>
      <c r="F40" s="1">
        <v>17.97</v>
      </c>
      <c r="G40" s="15" t="s">
        <v>45</v>
      </c>
      <c r="H40" s="15" t="s">
        <v>35</v>
      </c>
      <c r="I40" s="15" t="s">
        <v>1</v>
      </c>
      <c r="J40" s="15" t="s">
        <v>1</v>
      </c>
      <c r="K40" s="1" t="s">
        <v>17</v>
      </c>
      <c r="L40" s="1">
        <v>43.2437514363451</v>
      </c>
      <c r="M40" s="1">
        <v>41.455278350154202</v>
      </c>
      <c r="N40" s="1">
        <v>20.417095918417299</v>
      </c>
      <c r="O40" s="1">
        <v>16.913709212097899</v>
      </c>
      <c r="P40" s="1">
        <v>30.520296634009998</v>
      </c>
      <c r="Q40" s="1">
        <v>4.0909865485276704</v>
      </c>
      <c r="R40" s="1">
        <v>85.642822501122595</v>
      </c>
      <c r="S40" s="1">
        <v>37.861445035449897</v>
      </c>
      <c r="T40" s="1">
        <v>9.46029521640743E-2</v>
      </c>
      <c r="U40" s="1">
        <v>9.9356520068838605E-2</v>
      </c>
      <c r="V40" s="1">
        <v>5.8377526979448903E-2</v>
      </c>
      <c r="W40" s="1">
        <v>0.66943200000000003</v>
      </c>
      <c r="X40" s="1">
        <v>0.29823305994385402</v>
      </c>
      <c r="Y40" s="1">
        <v>4.7345266069175301E-2</v>
      </c>
      <c r="Z40" s="1">
        <v>0.392087843715614</v>
      </c>
      <c r="AA40" s="1">
        <v>0.62053716659457303</v>
      </c>
      <c r="AB40" s="1">
        <v>0.41710650494599599</v>
      </c>
      <c r="AC40" s="1">
        <v>1.1617128155869401</v>
      </c>
      <c r="AD40" s="1">
        <v>9.0550461112417394E-2</v>
      </c>
      <c r="AE40" s="1">
        <v>899533553.58019996</v>
      </c>
      <c r="AF40" s="1">
        <v>-0.547815527191442</v>
      </c>
      <c r="AG40" s="1">
        <v>0.23367697594501699</v>
      </c>
      <c r="AH40" s="1">
        <v>-0.342157488128145</v>
      </c>
      <c r="AI40" s="1">
        <v>-0.249351018090371</v>
      </c>
      <c r="AJ40" s="1">
        <v>0.24932042133877</v>
      </c>
      <c r="AK40" s="1">
        <v>0.204967817053685</v>
      </c>
      <c r="AL40" s="1">
        <v>2.7799999999999998E-2</v>
      </c>
      <c r="AM40" s="1">
        <v>7.8819823270786902</v>
      </c>
    </row>
    <row r="41" spans="1:39" x14ac:dyDescent="0.25">
      <c r="A41" s="1" t="str" cm="1">
        <f t="array" ref="A41">SQLupdate("FundamentalAnalysis", 1, "NULL", FundamentalAnalysis[[#This Row],[Ticker]], FundamentalAnalysis[[#This Row],[CompanyId]])</f>
        <v>UPDATE FundamentalAnalysis SET CompanyId = "4460ecd85ab74e2381fd4e2ec0aef0e1" WHERE (Ticker = "VCP.L");</v>
      </c>
      <c r="B41" s="1" t="str" cm="1">
        <f t="array" ref="B41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VCP.L",10,"2021-03-31",417.328571428571,188.300747508306,14.793837535014,18.454436906064,70.7330357142857,5.61248799231508,112.357692307692,40.6559119596546,1.34486071085495E-02,2.05071866703287E-02,2.06733608978145E-03,1.6797,0.52585557063169,0.298497244377503,0.228668644215669,5.50528338136407,3.88328664799253,7.0449646258599,1.33482142857143,212312280000,-0.6414118090577,0.171880492091388,-0.280689655172413,-0.133043478260869,-0.926744186046512,-8.71611445783133E-02,0,);</v>
      </c>
      <c r="C41" s="9" t="s">
        <v>349</v>
      </c>
      <c r="D41" s="1" t="s">
        <v>66</v>
      </c>
      <c r="E41" s="15" t="s">
        <v>65</v>
      </c>
      <c r="F41" s="1">
        <v>10</v>
      </c>
      <c r="G41" s="15" t="s">
        <v>64</v>
      </c>
      <c r="H41" s="15" t="s">
        <v>10</v>
      </c>
      <c r="I41" s="15" t="s">
        <v>60</v>
      </c>
      <c r="J41" s="15" t="s">
        <v>59</v>
      </c>
      <c r="K41" s="1" t="s">
        <v>28</v>
      </c>
      <c r="L41" s="1">
        <v>417.32857142857102</v>
      </c>
      <c r="M41" s="1">
        <v>188.30074750830599</v>
      </c>
      <c r="N41" s="1">
        <v>14.793837535013999</v>
      </c>
      <c r="O41" s="1">
        <v>18.454436906064</v>
      </c>
      <c r="P41" s="1">
        <v>70.733035714285705</v>
      </c>
      <c r="Q41" s="1">
        <v>5.6124879923150797</v>
      </c>
      <c r="R41" s="1">
        <v>112.35769230769201</v>
      </c>
      <c r="S41" s="1">
        <v>40.655911959654603</v>
      </c>
      <c r="T41" s="1">
        <v>1.3448607108549501E-2</v>
      </c>
      <c r="U41" s="1">
        <v>2.0507186670328699E-2</v>
      </c>
      <c r="V41" s="1">
        <v>2.06733608978145E-3</v>
      </c>
      <c r="W41" s="1">
        <v>1.6797</v>
      </c>
      <c r="X41" s="1">
        <v>0.52585557063168997</v>
      </c>
      <c r="Y41" s="1">
        <v>0.29849724437750302</v>
      </c>
      <c r="Z41" s="1">
        <v>0.22866864421566899</v>
      </c>
      <c r="AA41" s="1">
        <v>5.5052833813640696</v>
      </c>
      <c r="AB41" s="1">
        <v>3.8832866479925299</v>
      </c>
      <c r="AC41" s="1">
        <v>7.0449646258599001</v>
      </c>
      <c r="AD41" s="1">
        <v>1.3348214285714299</v>
      </c>
      <c r="AE41" s="1">
        <v>212312280000</v>
      </c>
      <c r="AF41" s="1">
        <v>-0.64141180905770001</v>
      </c>
      <c r="AG41" s="1">
        <v>0.171880492091388</v>
      </c>
      <c r="AH41" s="1">
        <v>-0.28068965517241301</v>
      </c>
      <c r="AI41" s="1">
        <v>-0.13304347826086901</v>
      </c>
      <c r="AJ41" s="1">
        <v>-0.92674418604651199</v>
      </c>
      <c r="AK41" s="1">
        <v>-8.7161144578313296E-2</v>
      </c>
      <c r="AL41" s="1">
        <v>0</v>
      </c>
    </row>
    <row r="42" spans="1:39" x14ac:dyDescent="0.25">
      <c r="A42" s="1" t="str" cm="1">
        <f t="array" ref="A42">SQLupdate("FundamentalAnalysis", 1, "NULL", FundamentalAnalysis[[#This Row],[Ticker]], FundamentalAnalysis[[#This Row],[CompanyId]])</f>
        <v>UPDATE FundamentalAnalysis SET CompanyId = "5183acf9b17341a9a3a2ad3a3f2d56da" WHERE (Ticker = "BLV.L");</v>
      </c>
      <c r="B42" s="1" t="str" cm="1">
        <f t="array" ref="B42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BLV.L",2.5435,"2020-12-31",16.8013578554636,18.740378180516,12.2143275019605,7.27823664041799,13.4831654476266,3.15697140041347,20.0567623972833,7.52546965734761,0.187899777361558,0.178818369453044,0.119574506364413,1.257632,0.512081463583017,6.64257550446216E-02,0.352897519945575,0.571403328974803,0.53836099856228,1.12567243420476,3.76569037656904E-02,12522543842.145,-0.15014242553936,0.188039568345324,-0.171194448545696,-0.163147089015985,0.107796067672611,0.155235492983837,0.0343,2.16161274064064);</v>
      </c>
      <c r="C42" s="9" t="s">
        <v>350</v>
      </c>
      <c r="D42" s="1" t="s">
        <v>63</v>
      </c>
      <c r="E42" s="15" t="s">
        <v>62</v>
      </c>
      <c r="F42" s="1">
        <v>2.5434999999999999</v>
      </c>
      <c r="G42" s="15" t="s">
        <v>61</v>
      </c>
      <c r="H42" s="15" t="s">
        <v>10</v>
      </c>
      <c r="I42" s="15" t="s">
        <v>60</v>
      </c>
      <c r="J42" s="15" t="s">
        <v>59</v>
      </c>
      <c r="K42" s="1" t="s">
        <v>17</v>
      </c>
      <c r="L42" s="1">
        <v>16.8013578554636</v>
      </c>
      <c r="M42" s="1">
        <v>18.740378180516</v>
      </c>
      <c r="N42" s="1">
        <v>12.214327501960501</v>
      </c>
      <c r="O42" s="1">
        <v>7.2782366404179903</v>
      </c>
      <c r="P42" s="1">
        <v>13.4831654476266</v>
      </c>
      <c r="Q42" s="1">
        <v>3.1569714004134699</v>
      </c>
      <c r="R42" s="1">
        <v>20.0567623972833</v>
      </c>
      <c r="S42" s="1">
        <v>7.5254696573476103</v>
      </c>
      <c r="T42" s="1">
        <v>0.187899777361558</v>
      </c>
      <c r="U42" s="1">
        <v>0.178818369453044</v>
      </c>
      <c r="V42" s="1">
        <v>0.119574506364413</v>
      </c>
      <c r="W42" s="1">
        <v>1.2576320000000001</v>
      </c>
      <c r="X42" s="1">
        <v>0.51208146358301698</v>
      </c>
      <c r="Y42" s="1">
        <v>6.6425755044621601E-2</v>
      </c>
      <c r="Z42" s="1">
        <v>0.352897519945575</v>
      </c>
      <c r="AA42" s="1">
        <v>0.57140332897480295</v>
      </c>
      <c r="AB42" s="1">
        <v>0.53836099856228004</v>
      </c>
      <c r="AC42" s="1">
        <v>1.1256724342047599</v>
      </c>
      <c r="AD42" s="1">
        <v>3.7656903765690398E-2</v>
      </c>
      <c r="AE42" s="1">
        <v>12522543842.145</v>
      </c>
      <c r="AF42" s="1">
        <v>-0.15014242553936</v>
      </c>
      <c r="AG42" s="1">
        <v>0.18803956834532401</v>
      </c>
      <c r="AH42" s="1">
        <v>-0.17119444854569599</v>
      </c>
      <c r="AI42" s="1">
        <v>-0.16314708901598499</v>
      </c>
      <c r="AJ42" s="1">
        <v>0.107796067672611</v>
      </c>
      <c r="AK42" s="1">
        <v>0.15523549298383699</v>
      </c>
      <c r="AL42" s="1">
        <v>3.4299999999999997E-2</v>
      </c>
      <c r="AM42" s="1">
        <v>2.1616127406406398</v>
      </c>
    </row>
    <row r="43" spans="1:39" x14ac:dyDescent="0.25">
      <c r="A43" s="1" t="str" cm="1">
        <f t="array" ref="A43">SQLupdate("FundamentalAnalysis", 1, "NULL", FundamentalAnalysis[[#This Row],[Ticker]], FundamentalAnalysis[[#This Row],[CompanyId]])</f>
        <v>UPDATE FundamentalAnalysis SET CompanyId = "e7ed26c60203403183d54362bffe82cb" WHERE (Ticker = "MHH");</v>
      </c>
      <c r="B43" s="1" t="str" cm="1">
        <f t="array" ref="B43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MHH",18.35,"2020-12-31",21.2017269597404,23.183024851799,13.0692225488465,11.3443464833851,16.5688450011192,3.51183762871013,100,36.2010111092034,0.165639225303613,0.167380580705589,9.66328910491347E-02,0.533068,0.186529630439536,0.03671971861572,0.516806623856232,0.714108141702921,0.765183615819209,2.36590893606744,5.74498246661195E-02,222072229.55,-0.284678716220657,0.198052748336209,-0.52966607748531,-0.511092270736188,0.23688536840532,0.368435640098028,0,12.7323611906304);</v>
      </c>
      <c r="C43" s="9" t="s">
        <v>351</v>
      </c>
      <c r="D43" s="1" t="s">
        <v>58</v>
      </c>
      <c r="E43" s="15" t="s">
        <v>57</v>
      </c>
      <c r="F43" s="1">
        <v>18.350000000000001</v>
      </c>
      <c r="G43" s="15" t="s">
        <v>56</v>
      </c>
      <c r="H43" s="15" t="s">
        <v>13</v>
      </c>
      <c r="I43" s="15" t="s">
        <v>12</v>
      </c>
      <c r="J43" s="15" t="s">
        <v>12</v>
      </c>
      <c r="K43" s="1" t="s">
        <v>17</v>
      </c>
      <c r="L43" s="1">
        <v>21.201726959740402</v>
      </c>
      <c r="M43" s="1">
        <v>23.183024851799001</v>
      </c>
      <c r="N43" s="1">
        <v>13.069222548846501</v>
      </c>
      <c r="O43" s="1">
        <v>11.344346483385101</v>
      </c>
      <c r="P43" s="1">
        <v>16.5688450011192</v>
      </c>
      <c r="Q43" s="1">
        <v>3.5118376287101301</v>
      </c>
      <c r="R43" s="1">
        <v>100</v>
      </c>
      <c r="S43" s="1">
        <v>36.201011109203399</v>
      </c>
      <c r="T43" s="1">
        <v>0.165639225303613</v>
      </c>
      <c r="U43" s="1">
        <v>0.167380580705589</v>
      </c>
      <c r="V43" s="1">
        <v>9.6632891049134695E-2</v>
      </c>
      <c r="W43" s="1">
        <v>0.53306799999999999</v>
      </c>
      <c r="X43" s="1">
        <v>0.18652963043953599</v>
      </c>
      <c r="Y43" s="1">
        <v>3.6719718615720001E-2</v>
      </c>
      <c r="Z43" s="1">
        <v>0.51680662385623199</v>
      </c>
      <c r="AA43" s="1">
        <v>0.71410814170292103</v>
      </c>
      <c r="AB43" s="1">
        <v>0.76518361581920902</v>
      </c>
      <c r="AC43" s="1">
        <v>2.3659089360674401</v>
      </c>
      <c r="AD43" s="1">
        <v>5.7449824666119503E-2</v>
      </c>
      <c r="AE43" s="1">
        <v>222072229.55000001</v>
      </c>
      <c r="AF43" s="1">
        <v>-0.28467871622065699</v>
      </c>
      <c r="AG43" s="1">
        <v>0.19805274833620901</v>
      </c>
      <c r="AH43" s="1">
        <v>-0.52966607748531003</v>
      </c>
      <c r="AI43" s="1">
        <v>-0.51109227073618801</v>
      </c>
      <c r="AJ43" s="1">
        <v>0.23688536840532001</v>
      </c>
      <c r="AK43" s="1">
        <v>0.36843564009802798</v>
      </c>
      <c r="AL43" s="1">
        <v>0</v>
      </c>
      <c r="AM43" s="1">
        <v>12.7323611906304</v>
      </c>
    </row>
    <row r="44" spans="1:39" x14ac:dyDescent="0.25">
      <c r="A44" s="1" t="str" cm="1">
        <f t="array" ref="A44">SQLupdate("FundamentalAnalysis", 1, "NULL", FundamentalAnalysis[[#This Row],[Ticker]], FundamentalAnalysis[[#This Row],[CompanyId]])</f>
        <v>UPDATE FundamentalAnalysis SET CompanyId = "5965c4d000504a028a77b87596ca1be6" WHERE (Ticker = "SCK.MI");</v>
      </c>
      <c r="B44" s="1" t="str" cm="1">
        <f t="array" ref="B44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SCK.MI",8.62,"2020-12-31",34.3294721108276,367.710284460031,19.8630611750454,6.33709782360109,23.9313407929944,8.06144525297492,100,67.6077248942795,0.234825785463573,0.169239636079206,7.17349233746535E-02,3.55668,0.422522246087757,0.10236206708805,0.525172270964341,2.27352110264532,0.851201292146174,2.41544839397663,6.61639503770372E-02,85592115.54,-0.719329529841826,0.878897550111359,-1.00738512035011,-0.731382228490832,9.81203007518797,0.261572564871561,0.041199997,2.34679806918055);</v>
      </c>
      <c r="C44" s="9" t="s">
        <v>352</v>
      </c>
      <c r="D44" s="1" t="s">
        <v>55</v>
      </c>
      <c r="E44" s="15" t="s">
        <v>54</v>
      </c>
      <c r="F44" s="1">
        <v>8.6199999999999992</v>
      </c>
      <c r="G44" s="15" t="s">
        <v>53</v>
      </c>
      <c r="H44" s="15" t="s">
        <v>8</v>
      </c>
      <c r="I44" s="15" t="s">
        <v>3</v>
      </c>
      <c r="J44" s="15" t="s">
        <v>3</v>
      </c>
      <c r="K44" s="1" t="s">
        <v>17</v>
      </c>
      <c r="L44" s="1">
        <v>34.329472110827602</v>
      </c>
      <c r="M44" s="1">
        <v>367.710284460031</v>
      </c>
      <c r="N44" s="1">
        <v>19.863061175045399</v>
      </c>
      <c r="O44" s="1">
        <v>6.3370978236010904</v>
      </c>
      <c r="P44" s="1">
        <v>23.931340792994401</v>
      </c>
      <c r="Q44" s="1">
        <v>8.0614452529749201</v>
      </c>
      <c r="R44" s="1">
        <v>100</v>
      </c>
      <c r="S44" s="1">
        <v>67.607724894279499</v>
      </c>
      <c r="T44" s="1">
        <v>0.23482578546357299</v>
      </c>
      <c r="U44" s="1">
        <v>0.169239636079206</v>
      </c>
      <c r="V44" s="1">
        <v>7.1734923374653495E-2</v>
      </c>
      <c r="W44" s="1">
        <v>3.5566800000000001</v>
      </c>
      <c r="X44" s="1">
        <v>0.42252224608775701</v>
      </c>
      <c r="Y44" s="1">
        <v>0.10236206708805</v>
      </c>
      <c r="Z44" s="1">
        <v>0.52517227096434105</v>
      </c>
      <c r="AA44" s="1">
        <v>2.2735211026453199</v>
      </c>
      <c r="AB44" s="1">
        <v>0.85120129214617402</v>
      </c>
      <c r="AC44" s="1">
        <v>2.41544839397663</v>
      </c>
      <c r="AD44" s="1">
        <v>6.6163950377037206E-2</v>
      </c>
      <c r="AE44" s="1">
        <v>85592115.540000007</v>
      </c>
      <c r="AF44" s="1">
        <v>-0.71932952984182597</v>
      </c>
      <c r="AG44" s="1">
        <v>0.87889755011135895</v>
      </c>
      <c r="AH44" s="1">
        <v>-1.0073851203501101</v>
      </c>
      <c r="AI44" s="1">
        <v>-0.73138222849083201</v>
      </c>
      <c r="AJ44" s="1">
        <v>9.8120300751879697</v>
      </c>
      <c r="AK44" s="1">
        <v>0.261572564871561</v>
      </c>
      <c r="AL44" s="1">
        <v>4.1199997000000002E-2</v>
      </c>
      <c r="AM44" s="1">
        <v>2.3467980691805499</v>
      </c>
    </row>
    <row r="45" spans="1:39" x14ac:dyDescent="0.25">
      <c r="A45" s="1" t="str" cm="1">
        <f t="array" ref="A45">SQLupdate("FundamentalAnalysis", 1, "NULL", FundamentalAnalysis[[#This Row],[Ticker]], FundamentalAnalysis[[#This Row],[CompanyId]])</f>
        <v>UPDATE FundamentalAnalysis SET CompanyId = "7b34c596f56a4cd08c67c9ff0210deb3" WHERE (Ticker = "GREEN.ST");</v>
      </c>
      <c r="B45" s="1" t="str" cm="1">
        <f t="array" ref="B45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GREEN.ST",76.6,"2020-12-31",97.440280112,201.038243741037,20.1476256414667,14.9732203230351,63.1292270099291,7.80271301345291,100,42.1086502842939,8.00768737988469E-02,5.43687822935143E-02,0.018836648583484,0.454183,0.151910828025478,2.61082993303783E-02,0.455894909688013,3.25112107623318,3.60615663196016,5.33472631503815,0.299290780141844,489567155.462,-0.714079888726423,1.28721682847896,-0.692671394799055,-0.491187143597719,-3.78947368421053,0.654585798816568,0,19.5448812192214);</v>
      </c>
      <c r="C45" s="9" t="s">
        <v>353</v>
      </c>
      <c r="D45" s="1" t="s">
        <v>52</v>
      </c>
      <c r="E45" s="15" t="s">
        <v>51</v>
      </c>
      <c r="F45" s="1">
        <v>76.599999999999994</v>
      </c>
      <c r="G45" s="15" t="s">
        <v>50</v>
      </c>
      <c r="H45" s="15" t="s">
        <v>49</v>
      </c>
      <c r="I45" s="15" t="s">
        <v>48</v>
      </c>
      <c r="J45" s="15" t="s">
        <v>48</v>
      </c>
      <c r="K45" s="1" t="s">
        <v>17</v>
      </c>
      <c r="L45" s="1">
        <v>97.440280111999996</v>
      </c>
      <c r="M45" s="1">
        <v>201.03824374103701</v>
      </c>
      <c r="N45" s="1">
        <v>20.1476256414667</v>
      </c>
      <c r="O45" s="1">
        <v>14.9732203230351</v>
      </c>
      <c r="P45" s="1">
        <v>63.129227009929103</v>
      </c>
      <c r="Q45" s="1">
        <v>7.8027130134529097</v>
      </c>
      <c r="R45" s="1">
        <v>100</v>
      </c>
      <c r="S45" s="1">
        <v>42.108650284293901</v>
      </c>
      <c r="T45" s="1">
        <v>8.0076873798846898E-2</v>
      </c>
      <c r="U45" s="1">
        <v>5.4368782293514301E-2</v>
      </c>
      <c r="V45" s="1">
        <v>1.8836648583484002E-2</v>
      </c>
      <c r="W45" s="1">
        <v>0.454183</v>
      </c>
      <c r="X45" s="1">
        <v>0.15191082802547801</v>
      </c>
      <c r="Y45" s="1">
        <v>2.6108299330378299E-2</v>
      </c>
      <c r="Z45" s="1">
        <v>0.45589490968801299</v>
      </c>
      <c r="AA45" s="1">
        <v>3.2511210762331801</v>
      </c>
      <c r="AB45" s="1">
        <v>3.6061566319601601</v>
      </c>
      <c r="AC45" s="1">
        <v>5.3347263150381501</v>
      </c>
      <c r="AD45" s="1">
        <v>0.29929078014184402</v>
      </c>
      <c r="AE45" s="1">
        <v>489567155.46200001</v>
      </c>
      <c r="AF45" s="1">
        <v>-0.71407988872642303</v>
      </c>
      <c r="AG45" s="1">
        <v>1.28721682847896</v>
      </c>
      <c r="AH45" s="1">
        <v>-0.69267139479905504</v>
      </c>
      <c r="AI45" s="1">
        <v>-0.49118714359771898</v>
      </c>
      <c r="AJ45" s="1">
        <v>-3.7894736842105301</v>
      </c>
      <c r="AK45" s="1">
        <v>0.65458579881656798</v>
      </c>
      <c r="AL45" s="1">
        <v>0</v>
      </c>
      <c r="AM45" s="1">
        <v>19.544881219221399</v>
      </c>
    </row>
    <row r="46" spans="1:39" x14ac:dyDescent="0.25">
      <c r="A46" s="1" t="str" cm="1">
        <f t="array" ref="A46">SQLupdate("FundamentalAnalysis", 1, "NULL", FundamentalAnalysis[[#This Row],[Ticker]], FundamentalAnalysis[[#This Row],[CompanyId]])</f>
        <v>UPDATE FundamentalAnalysis SET CompanyId = "1a6264fa21f84828ad3cc0dd7dbeecbc" WHERE (Ticker = "ATA.TO");</v>
      </c>
      <c r="B46" s="1" t="str" cm="1">
        <f t="array" ref="B46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ATA.TO",46.75,"2021-03-31",67.1628996637646,75.624577201698,22.3818422262631,11.0014790429024,38.1251964468366,4.80819575594462,127.691393469491,46.6706267841268,7.15900561175251E-02,7.91239517202264E-02,2.91844633668776E-02,1.514358,0.202185279614842,4.35503417696888E-02,0.517318300816556,1.43358830467884,1.53660237381539,0.943466543113759,0.344576424977316,3558876525.2425,-0.655344737633584,0.226326862928449,-0.154134138957073,-0.145371275498355,6.98314428071665E-02,6.45044503421972E-02,0,15.3070018398485);</v>
      </c>
      <c r="C46" s="9" t="s">
        <v>354</v>
      </c>
      <c r="D46" s="1" t="s">
        <v>47</v>
      </c>
      <c r="E46" s="15" t="s">
        <v>46</v>
      </c>
      <c r="F46" s="1">
        <v>46.75</v>
      </c>
      <c r="G46" s="15" t="s">
        <v>45</v>
      </c>
      <c r="H46" s="15" t="s">
        <v>35</v>
      </c>
      <c r="I46" s="15" t="s">
        <v>1</v>
      </c>
      <c r="J46" s="15" t="s">
        <v>1</v>
      </c>
      <c r="K46" s="1" t="s">
        <v>28</v>
      </c>
      <c r="L46" s="1">
        <v>67.162899663764605</v>
      </c>
      <c r="M46" s="1">
        <v>75.624577201698003</v>
      </c>
      <c r="N46" s="1">
        <v>22.3818422262631</v>
      </c>
      <c r="O46" s="1">
        <v>11.0014790429024</v>
      </c>
      <c r="P46" s="1">
        <v>38.125196446836597</v>
      </c>
      <c r="Q46" s="1">
        <v>4.8081957559446202</v>
      </c>
      <c r="R46" s="1">
        <v>127.691393469491</v>
      </c>
      <c r="S46" s="1">
        <v>46.670626784126803</v>
      </c>
      <c r="T46" s="1">
        <v>7.15900561175251E-2</v>
      </c>
      <c r="U46" s="1">
        <v>7.9123951720226404E-2</v>
      </c>
      <c r="V46" s="1">
        <v>2.9184463366877599E-2</v>
      </c>
      <c r="W46" s="1">
        <v>1.5143580000000001</v>
      </c>
      <c r="X46" s="1">
        <v>0.20218527961484201</v>
      </c>
      <c r="Y46" s="1">
        <v>4.3550341769688798E-2</v>
      </c>
      <c r="Z46" s="1">
        <v>0.51731830081655605</v>
      </c>
      <c r="AA46" s="1">
        <v>1.43358830467884</v>
      </c>
      <c r="AB46" s="1">
        <v>1.53660237381539</v>
      </c>
      <c r="AC46" s="1">
        <v>0.94346654311375899</v>
      </c>
      <c r="AD46" s="1">
        <v>0.344576424977316</v>
      </c>
      <c r="AE46" s="1">
        <v>3558876525.2424998</v>
      </c>
      <c r="AF46" s="1">
        <v>-0.65534473763358403</v>
      </c>
      <c r="AG46" s="1">
        <v>0.226326862928449</v>
      </c>
      <c r="AH46" s="1">
        <v>-0.15413413895707301</v>
      </c>
      <c r="AI46" s="1">
        <v>-0.14537127549835499</v>
      </c>
      <c r="AJ46" s="1">
        <v>6.9831442807166494E-2</v>
      </c>
      <c r="AK46" s="1">
        <v>6.4504450342197206E-2</v>
      </c>
      <c r="AL46" s="1">
        <v>0</v>
      </c>
      <c r="AM46" s="1">
        <v>15.3070018398485</v>
      </c>
    </row>
    <row r="47" spans="1:39" x14ac:dyDescent="0.25">
      <c r="A47" s="1" t="str" cm="1">
        <f t="array" ref="A47">SQLupdate("FundamentalAnalysis", 1, "NULL", FundamentalAnalysis[[#This Row],[Ticker]], FundamentalAnalysis[[#This Row],[CompanyId]])</f>
        <v>UPDATE FundamentalAnalysis SET CompanyId = "3a5602be05f048e9987287203659f82f" WHERE (Ticker = "GOOG");</v>
      </c>
      <c r="B47" s="1" t="str" cm="1">
        <f t="array" ref="B47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GOOG",2682.6,"2021-12-31",23.3609852905975,66.0030061846872,19.4954235345553,17.4844243565232,19.5833969543259,7.05865954497586,77.794577549054,36.6961471423162,0.30215590041131,0.308731111065915,0.211633098411214,1.069617,0.111324896488309,0.011791989455094,0.59697304729962,0.427734615613885,8.14287744149698E-02,-8.85070751983169E-02,3.79885814668423E-03,1783655794600,-0.432833458836695,0.326886336803692,7.47103358848871E-02,0.10491224286215,1.07625177697046,0.159461515258816,0,1567.12539222442);</v>
      </c>
      <c r="C47" s="9" t="s">
        <v>327</v>
      </c>
      <c r="D47" s="1" t="s">
        <v>44</v>
      </c>
      <c r="E47" s="15" t="s">
        <v>43</v>
      </c>
      <c r="F47" s="1">
        <v>2682.6</v>
      </c>
      <c r="G47" s="15" t="s">
        <v>42</v>
      </c>
      <c r="H47" s="15" t="s">
        <v>13</v>
      </c>
      <c r="I47" s="15" t="s">
        <v>12</v>
      </c>
      <c r="J47" s="15" t="s">
        <v>12</v>
      </c>
      <c r="K47" s="1" t="s">
        <v>21</v>
      </c>
      <c r="L47" s="1">
        <v>23.360985290597501</v>
      </c>
      <c r="M47" s="1">
        <v>66.003006184687194</v>
      </c>
      <c r="N47" s="1">
        <v>19.4954235345553</v>
      </c>
      <c r="O47" s="1">
        <v>17.484424356523199</v>
      </c>
      <c r="P47" s="1">
        <v>19.583396954325899</v>
      </c>
      <c r="Q47" s="1">
        <v>7.0586595449758596</v>
      </c>
      <c r="R47" s="1">
        <v>77.794577549053997</v>
      </c>
      <c r="S47" s="1">
        <v>36.6961471423162</v>
      </c>
      <c r="T47" s="1">
        <v>0.30215590041131002</v>
      </c>
      <c r="U47" s="1">
        <v>0.308731111065915</v>
      </c>
      <c r="V47" s="1">
        <v>0.211633098411214</v>
      </c>
      <c r="W47" s="1">
        <v>1.069617</v>
      </c>
      <c r="X47" s="1">
        <v>0.111324896488309</v>
      </c>
      <c r="Y47" s="1">
        <v>1.1791989455094E-2</v>
      </c>
      <c r="Z47" s="1">
        <v>0.59697304729961997</v>
      </c>
      <c r="AA47" s="1">
        <v>0.42773461561388498</v>
      </c>
      <c r="AB47" s="1">
        <v>8.1428774414969804E-2</v>
      </c>
      <c r="AC47" s="1">
        <v>-8.8507075198316895E-2</v>
      </c>
      <c r="AD47" s="1">
        <v>3.7988581466842299E-3</v>
      </c>
      <c r="AE47" s="1">
        <v>1783655794600</v>
      </c>
      <c r="AF47" s="1">
        <v>-0.432833458836695</v>
      </c>
      <c r="AG47" s="1">
        <v>0.326886336803692</v>
      </c>
      <c r="AH47" s="1">
        <v>7.4710335884887097E-2</v>
      </c>
      <c r="AI47" s="1">
        <v>0.10491224286214999</v>
      </c>
      <c r="AJ47" s="1">
        <v>1.07625177697046</v>
      </c>
      <c r="AK47" s="1">
        <v>0.15946151525881599</v>
      </c>
      <c r="AL47" s="1">
        <v>0</v>
      </c>
      <c r="AM47" s="1">
        <v>1567.12539222442</v>
      </c>
    </row>
    <row r="48" spans="1:39" x14ac:dyDescent="0.25">
      <c r="A48" s="1" t="str" cm="1">
        <f t="array" ref="A48">SQLupdate("FundamentalAnalysis", 1, "NULL", FundamentalAnalysis[[#This Row],[Ticker]], FundamentalAnalysis[[#This Row],[CompanyId]])</f>
        <v>UPDATE FundamentalAnalysis SET CompanyId = "560deb9c86d84a26a5975e2c318c4d08" WHERE (Ticker = "1044.HK");</v>
      </c>
      <c r="B48" s="1" t="str" cm="1">
        <f t="array" ref="B48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1044.HK",33.04,"2020-12-31",8.5306129316806,9.89448111527033,5.25621653938404,9.54097605187177,5.93921457008043,2.01925716075356,9.15600629242438,19.1518763501997,0.236707160074575,0.297704198212081,0.103391524816371,0.418853,0.684126509708999,0.522589845456422,0.890332316079158,1.27654181385259,4.94599910946086E-02,0.185706398616626,0.105202755318121,5935338638.652,0.862939820452688,8.69845675856321E-02,8.56647461115851E-02,6.20987785865561E-02,6.61627009302218E-02,6.86850235725909E-02,0.0668,63.3980776177895);</v>
      </c>
      <c r="C48" s="9" t="s">
        <v>328</v>
      </c>
      <c r="D48" s="1" t="s">
        <v>41</v>
      </c>
      <c r="E48" s="15" t="s">
        <v>40</v>
      </c>
      <c r="F48" s="1">
        <v>33.04</v>
      </c>
      <c r="G48" s="15" t="s">
        <v>39</v>
      </c>
      <c r="H48" s="15" t="s">
        <v>30</v>
      </c>
      <c r="I48" s="15" t="s">
        <v>29</v>
      </c>
      <c r="J48" s="15" t="s">
        <v>0</v>
      </c>
      <c r="K48" s="1" t="s">
        <v>17</v>
      </c>
      <c r="L48" s="1">
        <v>8.5306129316806008</v>
      </c>
      <c r="M48" s="1">
        <v>9.8944811152703291</v>
      </c>
      <c r="N48" s="1">
        <v>5.2562165393840399</v>
      </c>
      <c r="O48" s="1">
        <v>9.5409760518717697</v>
      </c>
      <c r="P48" s="1">
        <v>5.9392145700804297</v>
      </c>
      <c r="Q48" s="1">
        <v>2.0192571607535599</v>
      </c>
      <c r="R48" s="1">
        <v>9.1560062924243795</v>
      </c>
      <c r="S48" s="1">
        <v>19.1518763501997</v>
      </c>
      <c r="T48" s="1">
        <v>0.23670716007457501</v>
      </c>
      <c r="U48" s="1">
        <v>0.29770419821208099</v>
      </c>
      <c r="V48" s="1">
        <v>0.103391524816371</v>
      </c>
      <c r="W48" s="1">
        <v>0.41885299999999998</v>
      </c>
      <c r="X48" s="1">
        <v>0.68412650970899902</v>
      </c>
      <c r="Y48" s="1">
        <v>0.52258984545642195</v>
      </c>
      <c r="Z48" s="1">
        <v>0.89033231607915797</v>
      </c>
      <c r="AA48" s="1">
        <v>1.2765418138525899</v>
      </c>
      <c r="AB48" s="1">
        <v>4.94599910946086E-2</v>
      </c>
      <c r="AC48" s="1">
        <v>0.185706398616626</v>
      </c>
      <c r="AD48" s="1">
        <v>0.105202755318121</v>
      </c>
      <c r="AE48" s="1">
        <v>5935338638.6520004</v>
      </c>
      <c r="AF48" s="1">
        <v>0.86293982045268802</v>
      </c>
      <c r="AG48" s="1">
        <v>8.6984567585632097E-2</v>
      </c>
      <c r="AH48" s="1">
        <v>8.5664746111585102E-2</v>
      </c>
      <c r="AI48" s="1">
        <v>6.2098778586556103E-2</v>
      </c>
      <c r="AJ48" s="1">
        <v>6.6162700930221793E-2</v>
      </c>
      <c r="AK48" s="1">
        <v>6.8685023572590903E-2</v>
      </c>
      <c r="AL48" s="1">
        <v>6.6799999999999998E-2</v>
      </c>
      <c r="AM48" s="1">
        <v>63.398077617789497</v>
      </c>
    </row>
    <row r="49" spans="1:39" x14ac:dyDescent="0.25">
      <c r="A49" s="1" t="str" cm="1">
        <f t="array" ref="A49">SQLupdate("FundamentalAnalysis", 1, "NULL", FundamentalAnalysis[[#This Row],[Ticker]], FundamentalAnalysis[[#This Row],[CompanyId]])</f>
        <v>UPDATE FundamentalAnalysis SET CompanyId = "dae01fbfa6aa4da48052f7c1e3421ace" WHERE (Ticker = "DND.TO");</v>
      </c>
      <c r="B49" s="1" t="str" cm="1">
        <f t="array" ref="B49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DND.TO",27.15,"2021-06-30",100,557.699906380731,21.9421294314243,29.2007340370935,-109.754604172423,2.47706956960623,300.607323958958,385.547881358527,-5.43988217073258E-02,-9.9714412851835E-03,-2.62127125463466E-02,1,1,0.260476782733845,0.132045491418034,1.07528395282035,-3.74630225524451,-0.404870785712246,-1.90846919038408,1223381890.5,-0.556661596351694,0.796119371636675,1.05807972210761,0.631967861914867,-10.1741374985232,-23.4021976954151,0.0028,12.3977367888231);</v>
      </c>
      <c r="C49" s="9" t="s">
        <v>329</v>
      </c>
      <c r="D49" s="1" t="s">
        <v>38</v>
      </c>
      <c r="E49" s="15" t="s">
        <v>37</v>
      </c>
      <c r="F49" s="1">
        <v>27.15</v>
      </c>
      <c r="G49" s="15" t="s">
        <v>36</v>
      </c>
      <c r="H49" s="15" t="s">
        <v>35</v>
      </c>
      <c r="I49" s="15" t="s">
        <v>1</v>
      </c>
      <c r="J49" s="15" t="s">
        <v>1</v>
      </c>
      <c r="K49" s="1" t="s">
        <v>34</v>
      </c>
      <c r="L49" s="1">
        <v>100</v>
      </c>
      <c r="M49" s="1">
        <v>557.69990638073102</v>
      </c>
      <c r="N49" s="1">
        <v>21.942129431424299</v>
      </c>
      <c r="O49" s="1">
        <v>29.2007340370935</v>
      </c>
      <c r="P49" s="1">
        <v>-109.754604172423</v>
      </c>
      <c r="Q49" s="1">
        <v>2.4770695696062299</v>
      </c>
      <c r="R49" s="1">
        <v>300.60732395895798</v>
      </c>
      <c r="S49" s="1">
        <v>385.54788135852698</v>
      </c>
      <c r="T49" s="1">
        <v>-5.4398821707325802E-2</v>
      </c>
      <c r="U49" s="1">
        <v>-9.9714412851834994E-3</v>
      </c>
      <c r="V49" s="1">
        <v>-2.6212712546346599E-2</v>
      </c>
      <c r="W49" s="1">
        <v>1</v>
      </c>
      <c r="X49" s="1">
        <v>1</v>
      </c>
      <c r="Y49" s="1">
        <v>0.260476782733845</v>
      </c>
      <c r="Z49" s="1">
        <v>0.13204549141803401</v>
      </c>
      <c r="AA49" s="1">
        <v>1.0752839528203499</v>
      </c>
      <c r="AB49" s="1">
        <v>-3.74630225524451</v>
      </c>
      <c r="AC49" s="1">
        <v>-0.404870785712246</v>
      </c>
      <c r="AD49" s="1">
        <v>-1.90846919038408</v>
      </c>
      <c r="AE49" s="1">
        <v>1223381890.5</v>
      </c>
      <c r="AF49" s="1">
        <v>-0.55666159635169399</v>
      </c>
      <c r="AG49" s="1">
        <v>0.79611937163667501</v>
      </c>
      <c r="AH49" s="1">
        <v>1.0580797221076099</v>
      </c>
      <c r="AI49" s="1">
        <v>0.63196786191486698</v>
      </c>
      <c r="AJ49" s="1">
        <v>-10.1741374985232</v>
      </c>
      <c r="AK49" s="1">
        <v>-23.402197695415101</v>
      </c>
      <c r="AL49" s="1">
        <v>2.8E-3</v>
      </c>
      <c r="AM49" s="1">
        <v>12.397736788823099</v>
      </c>
    </row>
    <row r="50" spans="1:39" x14ac:dyDescent="0.25">
      <c r="A50" s="1" t="str" cm="1">
        <f t="array" ref="A50">SQLupdate("FundamentalAnalysis", 1, "NULL", FundamentalAnalysis[[#This Row],[Ticker]], FundamentalAnalysis[[#This Row],[CompanyId]])</f>
        <v>UPDATE FundamentalAnalysis SET CompanyId = "83fb7cd1aeb548d5a46c18c4203d483c" WHERE (Ticker = "9988.HK");</v>
      </c>
      <c r="B50" s="1" t="str" cm="1">
        <f t="array" ref="B50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9988.HK",72.64,"2021-03-31",10.4677817767716,15.3351319072664,6.59008475926061,17.1353243470244,8.44669719255483,1.68135262395887,8.35741933702748,24.0496573454213,0.160621673226877,0.129529424310284,8.90879164699465E-02,0.881397,0.499350285998508,0.203818299550766,0.613333940125834,0.656295134777646,-0.641498786491285,-0.619700577737791,2.63210509602832E-02,215459196657.408,0.690244231491966,0.264764922990672,0.329036555304977,0.279199654872135,0.500837845006475,0.540724177332145,0,126.462721204844);</v>
      </c>
      <c r="C50" s="9" t="s">
        <v>355</v>
      </c>
      <c r="D50" s="1" t="s">
        <v>33</v>
      </c>
      <c r="E50" s="15" t="s">
        <v>32</v>
      </c>
      <c r="F50" s="1">
        <v>72.64</v>
      </c>
      <c r="G50" s="15" t="s">
        <v>31</v>
      </c>
      <c r="H50" s="15" t="s">
        <v>30</v>
      </c>
      <c r="I50" s="15" t="s">
        <v>29</v>
      </c>
      <c r="J50" s="15" t="s">
        <v>0</v>
      </c>
      <c r="K50" s="1" t="s">
        <v>28</v>
      </c>
      <c r="L50" s="1">
        <v>10.4677817767716</v>
      </c>
      <c r="M50" s="1">
        <v>15.335131907266399</v>
      </c>
      <c r="N50" s="1">
        <v>6.59008475926061</v>
      </c>
      <c r="O50" s="1">
        <v>17.135324347024401</v>
      </c>
      <c r="P50" s="1">
        <v>8.4466971925548293</v>
      </c>
      <c r="Q50" s="1">
        <v>1.6813526239588701</v>
      </c>
      <c r="R50" s="1">
        <v>8.3574193370274799</v>
      </c>
      <c r="S50" s="1">
        <v>24.049657345421299</v>
      </c>
      <c r="T50" s="1">
        <v>0.16062167322687701</v>
      </c>
      <c r="U50" s="1">
        <v>0.129529424310284</v>
      </c>
      <c r="V50" s="1">
        <v>8.9087916469946501E-2</v>
      </c>
      <c r="W50" s="1">
        <v>0.88139699999999999</v>
      </c>
      <c r="X50" s="1">
        <v>0.499350285998508</v>
      </c>
      <c r="Y50" s="1">
        <v>0.203818299550766</v>
      </c>
      <c r="Z50" s="1">
        <v>0.61333394012583398</v>
      </c>
      <c r="AA50" s="1">
        <v>0.65629513477764601</v>
      </c>
      <c r="AB50" s="1">
        <v>-0.641498786491285</v>
      </c>
      <c r="AC50" s="1">
        <v>-0.61970057773779097</v>
      </c>
      <c r="AD50" s="1">
        <v>2.6321050960283199E-2</v>
      </c>
      <c r="AE50" s="1">
        <v>215459196657.40799</v>
      </c>
      <c r="AF50" s="1">
        <v>0.69024423149196601</v>
      </c>
      <c r="AG50" s="1">
        <v>0.264764922990672</v>
      </c>
      <c r="AH50" s="1">
        <v>0.329036555304977</v>
      </c>
      <c r="AI50" s="1">
        <v>0.27919965487213499</v>
      </c>
      <c r="AJ50" s="1">
        <v>0.50083784500647499</v>
      </c>
      <c r="AK50" s="1">
        <v>0.54072417733214495</v>
      </c>
      <c r="AL50" s="1">
        <v>0</v>
      </c>
      <c r="AM50" s="1">
        <v>126.462721204844</v>
      </c>
    </row>
    <row r="51" spans="1:39" x14ac:dyDescent="0.25">
      <c r="A51" s="1" t="str" cm="1">
        <f t="array" ref="A51">SQLupdate("FundamentalAnalysis", 1, "NULL", FundamentalAnalysis[[#This Row],[Ticker]], FundamentalAnalysis[[#This Row],[CompanyId]])</f>
        <v>UPDATE FundamentalAnalysis SET CompanyId = "e6f1fb77f48f4094b509a7cfc276dea5" WHERE (Ticker = "REP.MC");</v>
      </c>
      <c r="B51" s="1" t="str" cm="1">
        <f t="array" ref="B51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REP.MC",11.244,"2021-12-31",6.58390634638175,44.4002382705461,3.29608398902717,7.1595031766627,5.35378710868173,0.734058265352369,5.92907458003892,10.9190637710352,0.111492816989382,0.12160982124512,4.44235076616774E-02,1.416844,0.249309330719187,0.340055802806748,0.517573221757322,1.49281698938164,1.15680665713171,2.79781187881952,8.57444561774023E-02,22054658304.859,2.21656033937207,-4.44231076972317E-02,-4.05972271596162E-02,-5.30608253471545E-02,-0.22979726544083,-8.42177692746619E-02,0.051599998,36.1670044558996);</v>
      </c>
      <c r="C51" s="9" t="s">
        <v>330</v>
      </c>
      <c r="D51" s="1" t="s">
        <v>27</v>
      </c>
      <c r="E51" s="15" t="s">
        <v>26</v>
      </c>
      <c r="F51" s="1">
        <v>11.244</v>
      </c>
      <c r="G51" s="15" t="s">
        <v>22</v>
      </c>
      <c r="H51" s="15" t="s">
        <v>25</v>
      </c>
      <c r="I51" s="15" t="s">
        <v>3</v>
      </c>
      <c r="J51" s="15" t="s">
        <v>3</v>
      </c>
      <c r="K51" s="1" t="s">
        <v>21</v>
      </c>
      <c r="L51" s="1">
        <v>6.5839063463817498</v>
      </c>
      <c r="M51" s="1">
        <v>44.400238270546097</v>
      </c>
      <c r="N51" s="1">
        <v>3.2960839890271698</v>
      </c>
      <c r="O51" s="1">
        <v>7.1595031766627004</v>
      </c>
      <c r="P51" s="1">
        <v>5.3537871086817299</v>
      </c>
      <c r="Q51" s="1">
        <v>0.73405826535236895</v>
      </c>
      <c r="R51" s="1">
        <v>5.92907458003892</v>
      </c>
      <c r="S51" s="1">
        <v>10.9190637710352</v>
      </c>
      <c r="T51" s="1">
        <v>0.111492816989382</v>
      </c>
      <c r="U51" s="1">
        <v>0.12160982124512</v>
      </c>
      <c r="V51" s="1">
        <v>4.4423507661677401E-2</v>
      </c>
      <c r="W51" s="1">
        <v>1.416844</v>
      </c>
      <c r="X51" s="1">
        <v>0.24930933071918701</v>
      </c>
      <c r="Y51" s="1">
        <v>0.34005580280674802</v>
      </c>
      <c r="Z51" s="1">
        <v>0.51757322175732201</v>
      </c>
      <c r="AA51" s="1">
        <v>1.4928169893816401</v>
      </c>
      <c r="AB51" s="1">
        <v>1.1568066571317099</v>
      </c>
      <c r="AC51" s="1">
        <v>2.7978118788195201</v>
      </c>
      <c r="AD51" s="1">
        <v>8.5744456177402298E-2</v>
      </c>
      <c r="AE51" s="1">
        <v>22054658304.859001</v>
      </c>
      <c r="AF51" s="1">
        <v>2.2165603393720699</v>
      </c>
      <c r="AG51" s="1">
        <v>-4.4423107697231699E-2</v>
      </c>
      <c r="AH51" s="1">
        <v>-4.0597227159616202E-2</v>
      </c>
      <c r="AI51" s="1">
        <v>-5.3060825347154499E-2</v>
      </c>
      <c r="AJ51" s="1">
        <v>-0.22979726544083001</v>
      </c>
      <c r="AK51" s="1">
        <v>-8.4217769274661902E-2</v>
      </c>
      <c r="AL51" s="1">
        <v>5.1599998000000001E-2</v>
      </c>
      <c r="AM51" s="1">
        <v>36.167004455899601</v>
      </c>
    </row>
    <row r="52" spans="1:39" x14ac:dyDescent="0.25">
      <c r="A52" s="1" t="str" cm="1">
        <f t="array" ref="A52">SQLupdate("FundamentalAnalysis", 1, "NULL", FundamentalAnalysis[[#This Row],[Ticker]], FundamentalAnalysis[[#This Row],[CompanyId]])</f>
        <v>UPDATE FundamentalAnalysis SET CompanyId = "2fe12cf7473843d79f86130fa3d16dcb" WHERE (Ticker = "TTE.PA");</v>
      </c>
      <c r="B52" s="1" t="str" cm="1">
        <f t="array" ref="B52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TTE.PA",39.6981,"2021-12-31",6.4517058841372,31.1943870772335,3.47485186574615,4.79927582032438,5.26398207755636,0.925697615222378,5.72500961612263,12.1164893926013,0.143481062504475,0.140439411966363,5.46313271405107E-02,1.084754,0.192034984163547,0.206334975393616,0.532906718069697,1.59714863607074,1.02381516587678,1.40075291583956,6.83490684567613E-02,146638748734.488,1.02612960787499,2.49434474438246E-02,0.295106913288731,2.93041331012428E-02,-4.15079503756772E-02,-2.14354894500173E-02,0.0579,82.8465006599737);</v>
      </c>
      <c r="C52" s="9" t="s">
        <v>356</v>
      </c>
      <c r="D52" s="1" t="s">
        <v>24</v>
      </c>
      <c r="E52" s="15" t="s">
        <v>23</v>
      </c>
      <c r="F52" s="1">
        <v>39.698099999999997</v>
      </c>
      <c r="G52" s="15" t="s">
        <v>22</v>
      </c>
      <c r="H52" s="15" t="s">
        <v>9</v>
      </c>
      <c r="I52" s="15" t="s">
        <v>3</v>
      </c>
      <c r="J52" s="15" t="s">
        <v>12</v>
      </c>
      <c r="K52" s="1" t="s">
        <v>21</v>
      </c>
      <c r="L52" s="1">
        <v>6.4517058841372004</v>
      </c>
      <c r="M52" s="1">
        <v>31.1943870772335</v>
      </c>
      <c r="N52" s="1">
        <v>3.47485186574615</v>
      </c>
      <c r="O52" s="1">
        <v>4.7992758203243797</v>
      </c>
      <c r="P52" s="1">
        <v>5.2639820775563599</v>
      </c>
      <c r="Q52" s="1">
        <v>0.92569761522237803</v>
      </c>
      <c r="R52" s="1">
        <v>5.7250096161226303</v>
      </c>
      <c r="S52" s="1">
        <v>12.1164893926013</v>
      </c>
      <c r="T52" s="1">
        <v>0.14348106250447501</v>
      </c>
      <c r="U52" s="1">
        <v>0.140439411966363</v>
      </c>
      <c r="V52" s="1">
        <v>5.4631327140510701E-2</v>
      </c>
      <c r="W52" s="1">
        <v>1.084754</v>
      </c>
      <c r="X52" s="1">
        <v>0.192034984163547</v>
      </c>
      <c r="Y52" s="1">
        <v>0.206334975393616</v>
      </c>
      <c r="Z52" s="1">
        <v>0.53290671806969703</v>
      </c>
      <c r="AA52" s="1">
        <v>1.5971486360707401</v>
      </c>
      <c r="AB52" s="1">
        <v>1.02381516587678</v>
      </c>
      <c r="AC52" s="1">
        <v>1.40075291583956</v>
      </c>
      <c r="AD52" s="1">
        <v>6.8349068456761294E-2</v>
      </c>
      <c r="AE52" s="1">
        <v>146638748734.48801</v>
      </c>
      <c r="AF52" s="1">
        <v>1.02612960787499</v>
      </c>
      <c r="AG52" s="1">
        <v>2.4943447443824599E-2</v>
      </c>
      <c r="AH52" s="1">
        <v>0.29510691328873101</v>
      </c>
      <c r="AI52" s="1">
        <v>2.9304133101242798E-2</v>
      </c>
      <c r="AJ52" s="1">
        <v>-4.1507950375677199E-2</v>
      </c>
      <c r="AK52" s="1">
        <v>-2.14354894500173E-2</v>
      </c>
      <c r="AL52" s="1">
        <v>5.79E-2</v>
      </c>
      <c r="AM52" s="1">
        <v>82.846500659973699</v>
      </c>
    </row>
    <row r="53" spans="1:39" x14ac:dyDescent="0.25">
      <c r="A53" s="1" t="str" cm="1">
        <f t="array" ref="A53">SQLupdate("FundamentalAnalysis", 1, "NULL", FundamentalAnalysis[[#This Row],[Ticker]], FundamentalAnalysis[[#This Row],[CompanyId]])</f>
        <v>UPDATE FundamentalAnalysis SET CompanyId = "d3f3d3d684784120a3a8d953b551b612" WHERE (Ticker = "BOL.PA");</v>
      </c>
      <c r="B53" s="1" t="str" cm="1">
        <f t="array" ref="B53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BOL.PA",4.772,"2020-12-31",32.876120642406,42.8150883980747,6.79113600791582,6.1516154597636,9.3494237765436,1.5402651796975,9.06692388893727,9.89566447396772,0.046850575724885,6.11660118072146E-02,7.35454215555824E-03,0.813432,0.184241327500477,0.15862548559872,0.544192041951155,3.50990731159596,2.69017263108532,2.33607249795767,9.60335713997498E-02,20158488942.505,0.385526093982393,0.157020636285469,0.208535573532462,5.22206095791003E-02,-0.117157563625965,-4.21292464587078E-02,0.0127,6.60577996301555);</v>
      </c>
      <c r="C53" s="9" t="s">
        <v>331</v>
      </c>
      <c r="D53" s="1" t="s">
        <v>20</v>
      </c>
      <c r="E53" s="15" t="s">
        <v>19</v>
      </c>
      <c r="F53" s="1">
        <v>4.7720000000000002</v>
      </c>
      <c r="G53" s="15" t="s">
        <v>18</v>
      </c>
      <c r="H53" s="15" t="s">
        <v>9</v>
      </c>
      <c r="I53" s="15" t="s">
        <v>3</v>
      </c>
      <c r="J53" s="15" t="s">
        <v>3</v>
      </c>
      <c r="K53" s="1" t="s">
        <v>17</v>
      </c>
      <c r="L53" s="1">
        <v>32.876120642406001</v>
      </c>
      <c r="M53" s="1">
        <v>42.8150883980747</v>
      </c>
      <c r="N53" s="1">
        <v>6.7911360079158198</v>
      </c>
      <c r="O53" s="1">
        <v>6.1516154597636001</v>
      </c>
      <c r="P53" s="1">
        <v>9.3494237765436008</v>
      </c>
      <c r="Q53" s="1">
        <v>1.5402651796975</v>
      </c>
      <c r="R53" s="1">
        <v>9.0669238889372696</v>
      </c>
      <c r="S53" s="1">
        <v>9.8956644739677202</v>
      </c>
      <c r="T53" s="1">
        <v>4.6850575724884998E-2</v>
      </c>
      <c r="U53" s="1">
        <v>6.11660118072146E-2</v>
      </c>
      <c r="V53" s="1">
        <v>7.3545421555582403E-3</v>
      </c>
      <c r="W53" s="1">
        <v>0.81343200000000004</v>
      </c>
      <c r="X53" s="1">
        <v>0.184241327500477</v>
      </c>
      <c r="Y53" s="1">
        <v>0.15862548559872</v>
      </c>
      <c r="Z53" s="1">
        <v>0.544192041951155</v>
      </c>
      <c r="AA53" s="1">
        <v>3.5099073115959598</v>
      </c>
      <c r="AB53" s="1">
        <v>2.69017263108532</v>
      </c>
      <c r="AC53" s="1">
        <v>2.3360724979576699</v>
      </c>
      <c r="AD53" s="1">
        <v>9.6033571399749801E-2</v>
      </c>
      <c r="AE53" s="1">
        <v>20158488942.505001</v>
      </c>
      <c r="AF53" s="1">
        <v>0.38552609398239301</v>
      </c>
      <c r="AG53" s="1">
        <v>0.157020636285469</v>
      </c>
      <c r="AH53" s="1">
        <v>0.20853557353246199</v>
      </c>
      <c r="AI53" s="1">
        <v>5.2220609579100297E-2</v>
      </c>
      <c r="AJ53" s="1">
        <v>-0.11715756362596499</v>
      </c>
      <c r="AK53" s="1">
        <v>-4.2129246458707803E-2</v>
      </c>
      <c r="AL53" s="1">
        <v>1.2699999999999999E-2</v>
      </c>
      <c r="AM53" s="1">
        <v>6.60577996301555</v>
      </c>
    </row>
    <row r="54" spans="1:39" x14ac:dyDescent="0.25">
      <c r="A54" s="1" t="str" cm="1">
        <f t="array" ref="A54">SQLupdate("FundamentalAnalysis", 1, "NULL", FundamentalAnalysis[[#This Row],[Ticker]], FundamentalAnalysis[[#This Row],[CompanyId]])</f>
        <v>UPDATE FundamentalAnalysis SET CompanyId = "a3c565220975417b8e2aa3e5e03a0a98" WHERE (Ticker = "MU");</v>
      </c>
      <c r="B54" s="1" t="str" cm="1">
        <f t="array" ref="B54">SQLinsert("fundamentalAnalysis", 1, "NULL", FundamentalAnalysis[[#This Row],[Ticker]],FundamentalAnalysis[[#This Row],[CurrentPrice]],FundamentalAnalysis[[#This Row],[LastReportDate]:[TargetPrice]])</f>
        <v>INSERT INTO fundamentalAnalysis (,,,,,,,,,,,,,,,,,,,,,,,,,,,,,,) VALUES ( "MU",77.89,"2021-08-31",14.8813618337349,16.8318962761448,6.67307752789045,4.60316739162393,13.5504861283424,1.98528809112785,35.7750868365546,178.320117176108,0.133407688980948,0.12209823557463,9.95938758517562E-02,1,0.389963329482092,0.089005160625734,0.430678466076696,0.339516991782942,-3.71595630096938E-02,-7.04983485501066E-02,0.028589282924543,86736661707.52,-0.242694702086314,-0.124106060606061,-0.253197981457575,-0.113097701149425,-0.20125928546162,0.117768006440825,0.0023999999,58.986509654497);</v>
      </c>
      <c r="C54" s="9" t="s">
        <v>357</v>
      </c>
      <c r="D54" s="1" t="s">
        <v>16</v>
      </c>
      <c r="E54" s="15" t="s">
        <v>15</v>
      </c>
      <c r="F54" s="1">
        <v>77.89</v>
      </c>
      <c r="G54" s="15" t="s">
        <v>14</v>
      </c>
      <c r="H54" s="15" t="s">
        <v>13</v>
      </c>
      <c r="I54" s="15" t="s">
        <v>12</v>
      </c>
      <c r="J54" s="15" t="s">
        <v>12</v>
      </c>
      <c r="K54" s="1" t="s">
        <v>11</v>
      </c>
      <c r="L54" s="1">
        <v>14.8813618337349</v>
      </c>
      <c r="M54" s="1">
        <v>16.8318962761448</v>
      </c>
      <c r="N54" s="1">
        <v>6.6730775278904497</v>
      </c>
      <c r="O54" s="1">
        <v>4.6031673916239297</v>
      </c>
      <c r="P54" s="1">
        <v>13.550486128342399</v>
      </c>
      <c r="Q54" s="1">
        <v>1.9852880911278501</v>
      </c>
      <c r="R54" s="1">
        <v>35.7750868365546</v>
      </c>
      <c r="S54" s="1">
        <v>178.320117176108</v>
      </c>
      <c r="T54" s="1">
        <v>0.13340768898094801</v>
      </c>
      <c r="U54" s="1">
        <v>0.12209823557463</v>
      </c>
      <c r="V54" s="1">
        <v>9.9593875851756206E-2</v>
      </c>
      <c r="W54" s="1">
        <v>1</v>
      </c>
      <c r="X54" s="1">
        <v>0.389963329482092</v>
      </c>
      <c r="Y54" s="1">
        <v>8.9005160625734006E-2</v>
      </c>
      <c r="Z54" s="1">
        <v>0.43067846607669602</v>
      </c>
      <c r="AA54" s="1">
        <v>0.33951699178294198</v>
      </c>
      <c r="AB54" s="1">
        <v>-3.7159563009693801E-2</v>
      </c>
      <c r="AC54" s="1">
        <v>-7.0498348550106602E-2</v>
      </c>
      <c r="AD54" s="1">
        <v>2.8589282924542998E-2</v>
      </c>
      <c r="AE54" s="1">
        <v>86736661707.520004</v>
      </c>
      <c r="AF54" s="1">
        <v>-0.242694702086314</v>
      </c>
      <c r="AG54" s="1">
        <v>-0.124106060606061</v>
      </c>
      <c r="AH54" s="1">
        <v>-0.25319798145757499</v>
      </c>
      <c r="AI54" s="1">
        <v>-0.113097701149425</v>
      </c>
      <c r="AJ54" s="1">
        <v>-0.20125928546162</v>
      </c>
      <c r="AK54" s="1">
        <v>0.117768006440825</v>
      </c>
      <c r="AL54" s="1">
        <v>2.3999999000000002E-3</v>
      </c>
      <c r="AM54" s="1">
        <v>58.986509654496999</v>
      </c>
    </row>
  </sheetData>
  <phoneticPr fontId="4" type="noConversion"/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BF5C2-B969-4EE1-8381-3BE7C650E5DD}">
  <sheetPr codeName="Hoja1"/>
  <dimension ref="A1:W65"/>
  <sheetViews>
    <sheetView zoomScale="70" zoomScaleNormal="70" workbookViewId="0">
      <pane xSplit="5" ySplit="2" topLeftCell="R3" activePane="bottomRight" state="frozen"/>
      <selection activeCell="C1" sqref="C1"/>
      <selection pane="topRight" activeCell="F1" sqref="F1"/>
      <selection pane="bottomLeft" activeCell="C2" sqref="C2"/>
      <selection pane="bottomRight" activeCell="E10" sqref="E10"/>
    </sheetView>
  </sheetViews>
  <sheetFormatPr baseColWidth="10" defaultColWidth="0" defaultRowHeight="15" zeroHeight="1" outlineLevelCol="1" x14ac:dyDescent="0.25"/>
  <cols>
    <col min="1" max="1" width="45.7109375" style="1" hidden="1" customWidth="1" outlineLevel="1"/>
    <col min="2" max="2" width="37.5703125" style="1" hidden="1" customWidth="1" outlineLevel="1"/>
    <col min="3" max="3" width="34.42578125" bestFit="1" customWidth="1" collapsed="1"/>
    <col min="4" max="4" width="15.7109375" bestFit="1" customWidth="1"/>
    <col min="5" max="5" width="32.140625" customWidth="1"/>
    <col min="6" max="6" width="15.7109375" customWidth="1"/>
    <col min="7" max="7" width="17" customWidth="1"/>
    <col min="8" max="8" width="17" style="1" customWidth="1"/>
    <col min="9" max="9" width="15.28515625" customWidth="1"/>
    <col min="10" max="10" width="34.85546875" style="1" customWidth="1"/>
    <col min="11" max="11" width="31.85546875" customWidth="1"/>
    <col min="12" max="12" width="31.85546875" style="1" customWidth="1"/>
    <col min="13" max="13" width="23" customWidth="1"/>
    <col min="14" max="14" width="9.7109375" customWidth="1"/>
    <col min="15" max="15" width="19.28515625" customWidth="1"/>
    <col min="16" max="16" width="16.5703125" customWidth="1"/>
    <col min="17" max="17" width="15.7109375" customWidth="1"/>
    <col min="18" max="18" width="21.140625" customWidth="1"/>
    <col min="19" max="19" width="24.28515625" customWidth="1"/>
    <col min="20" max="20" width="19.85546875" customWidth="1"/>
    <col min="21" max="23" width="11.42578125" customWidth="1"/>
    <col min="24" max="16384" width="11.42578125" hidden="1"/>
  </cols>
  <sheetData>
    <row r="1" spans="1:20" s="1" customFormat="1" x14ac:dyDescent="0.25">
      <c r="C1" s="1" t="s">
        <v>405</v>
      </c>
      <c r="D1" s="1" t="s">
        <v>403</v>
      </c>
      <c r="E1" s="1" t="s">
        <v>402</v>
      </c>
      <c r="F1" s="1" t="s">
        <v>406</v>
      </c>
      <c r="G1" s="1" t="s">
        <v>406</v>
      </c>
      <c r="H1" s="1" t="s">
        <v>405</v>
      </c>
      <c r="J1" s="1" t="s">
        <v>405</v>
      </c>
      <c r="L1" s="1" t="s">
        <v>405</v>
      </c>
      <c r="N1" s="1" t="s">
        <v>404</v>
      </c>
      <c r="O1" s="1" t="s">
        <v>397</v>
      </c>
      <c r="P1" s="1" t="s">
        <v>407</v>
      </c>
      <c r="Q1" s="1" t="s">
        <v>404</v>
      </c>
      <c r="R1" s="1" t="s">
        <v>404</v>
      </c>
      <c r="S1" s="1" t="s">
        <v>404</v>
      </c>
      <c r="T1" s="1" t="s">
        <v>404</v>
      </c>
    </row>
    <row r="2" spans="1:20" x14ac:dyDescent="0.25">
      <c r="A2" s="6" t="s">
        <v>363</v>
      </c>
      <c r="B2" s="6" t="s">
        <v>165</v>
      </c>
      <c r="C2" s="8" t="s">
        <v>245</v>
      </c>
      <c r="D2" t="s">
        <v>200</v>
      </c>
      <c r="E2" t="s">
        <v>199</v>
      </c>
      <c r="F2" t="s">
        <v>195</v>
      </c>
      <c r="G2" t="s">
        <v>194</v>
      </c>
      <c r="H2" s="8" t="s">
        <v>379</v>
      </c>
      <c r="I2" s="11" t="s">
        <v>196</v>
      </c>
      <c r="J2" s="8" t="s">
        <v>367</v>
      </c>
      <c r="K2" s="11" t="s">
        <v>275</v>
      </c>
      <c r="L2" s="8" t="s">
        <v>246</v>
      </c>
      <c r="M2" s="11" t="s">
        <v>197</v>
      </c>
      <c r="N2" t="s">
        <v>182</v>
      </c>
      <c r="O2" t="s">
        <v>276</v>
      </c>
      <c r="P2" t="s">
        <v>277</v>
      </c>
      <c r="Q2" t="s">
        <v>167</v>
      </c>
      <c r="R2" t="s">
        <v>278</v>
      </c>
      <c r="S2" t="s">
        <v>279</v>
      </c>
      <c r="T2" t="s">
        <v>280</v>
      </c>
    </row>
    <row r="3" spans="1:20" x14ac:dyDescent="0.25">
      <c r="A3" s="7" t="str" cm="1">
        <f t="array" ref="A3">SQLupdate("Variables", 1, "NULL", Companies[[#This Row],[Ticker]], Companies[[#This Row],[CompanyId]],Companies[[#This Row],[CountryId]], Companies[[#This Row],[IndustryId]], Companies[[#This Row],[SectorId]])</f>
        <v>UPDATE Variables SET VARCHAR(32) = "6b25fe333a084a54ad227d5277fcfdc3", VARCHAR(32) = "d56d9f2812d94be4bfbf907aaa847093", VARCHAR(32) = "9c5004f50c204ffc94b3a1762c945eac", VARCHAR(32) = "2fd75f24aa5149e7b17a86a49123ac88" WHERE (VARCHAR(16) = "UBER");</v>
      </c>
      <c r="B3" s="7" t="str" cm="1">
        <f t="array" ref="B3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"6b25fe333a084a54ad227d5277fcfdc3","UBER","Uber Technologies, Inc.","USD","USD","d56d9f2812d94be4bfbf907aaa847093","9c5004f50c204ffc94b3a1762c945eac","2fd75f24aa5149e7b17a86a49123ac88",1.312725,"31/12/2020",2020,0,0.00441,0.7403,);</v>
      </c>
      <c r="C3" s="9" t="s">
        <v>358</v>
      </c>
      <c r="D3" t="s">
        <v>281</v>
      </c>
      <c r="E3" t="s">
        <v>282</v>
      </c>
      <c r="F3" t="s">
        <v>12</v>
      </c>
      <c r="G3" t="s">
        <v>12</v>
      </c>
      <c r="H3" s="9" t="s">
        <v>380</v>
      </c>
      <c r="I3" s="10" t="s">
        <v>13</v>
      </c>
      <c r="J3" s="9" t="s">
        <v>364</v>
      </c>
      <c r="K3" s="10" t="s">
        <v>283</v>
      </c>
      <c r="L3" s="9" t="s">
        <v>368</v>
      </c>
      <c r="M3" s="10" t="s">
        <v>284</v>
      </c>
      <c r="N3">
        <v>1.3127249999999999</v>
      </c>
      <c r="O3" s="4">
        <v>44196</v>
      </c>
      <c r="P3">
        <v>2020</v>
      </c>
      <c r="Q3">
        <v>0</v>
      </c>
      <c r="R3">
        <v>4.4099999999999999E-3</v>
      </c>
      <c r="S3">
        <v>0.74029999999999996</v>
      </c>
    </row>
    <row r="4" spans="1:20" x14ac:dyDescent="0.25">
      <c r="A4" s="7" t="str" cm="1">
        <f t="array" ref="A4">SQLupdate("Variables", 1, "NULL", Companies[[#This Row],[Ticker]], Companies[[#This Row],[CompanyId]],Companies[[#This Row],[CountryId]], Companies[[#This Row],[IndustryId]], Companies[[#This Row],[SectorId]])</f>
        <v>UPDATE Variables SET VARCHAR(32) = "55f6e75ee0764fefab1da6af7f96291e", VARCHAR(32) = "d56d9f2812d94be4bfbf907aaa847093", VARCHAR(32) = "ec1e1439c1ea489caa0efe6d148ab00a", VARCHAR(32) = "2fd75f24aa5149e7b17a86a49123ac88" WHERE (VARCHAR(16) = "MSFT");</v>
      </c>
      <c r="B4" s="7" t="str" cm="1">
        <f t="array" ref="B4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"55f6e75ee0764fefab1da6af7f96291e","MSFT","Microsoft Corporation","USD","USD","d56d9f2812d94be4bfbf907aaa847093","ec1e1439c1ea489caa0efe6d148ab00a","2fd75f24aa5149e7b17a86a49123ac88",0.862138,"30/06/2021",2021,0.008,0.00062,0.71826,);</v>
      </c>
      <c r="C4" s="9" t="s">
        <v>320</v>
      </c>
      <c r="D4" t="s">
        <v>128</v>
      </c>
      <c r="E4" t="s">
        <v>127</v>
      </c>
      <c r="F4" t="s">
        <v>12</v>
      </c>
      <c r="G4" t="s">
        <v>12</v>
      </c>
      <c r="H4" s="9" t="s">
        <v>380</v>
      </c>
      <c r="I4" s="10" t="s">
        <v>13</v>
      </c>
      <c r="J4" s="9" t="s">
        <v>254</v>
      </c>
      <c r="K4" s="10" t="s">
        <v>36</v>
      </c>
      <c r="L4" s="9" t="s">
        <v>368</v>
      </c>
      <c r="M4" s="10" t="s">
        <v>284</v>
      </c>
      <c r="N4">
        <v>0.86213799999999996</v>
      </c>
      <c r="O4" s="4">
        <v>44377</v>
      </c>
      <c r="P4">
        <v>2021</v>
      </c>
      <c r="Q4">
        <v>8.0000000000000002E-3</v>
      </c>
      <c r="R4">
        <v>6.2E-4</v>
      </c>
      <c r="S4">
        <v>0.71826000000000001</v>
      </c>
    </row>
    <row r="5" spans="1:20" x14ac:dyDescent="0.25">
      <c r="A5" s="7" t="str" cm="1">
        <f t="array" ref="A5">SQLupdate("Variables", 1, "NULL", Companies[[#This Row],[Ticker]], Companies[[#This Row],[CompanyId]],Companies[[#This Row],[CountryId]], Companies[[#This Row],[IndustryId]], Companies[[#This Row],[SectorId]])</f>
        <v>UPDATE Variables SET VARCHAR(32) = "1e2fc9b459044cda8554e92177cc2438", VARCHAR(32) = "d56d9f2812d94be4bfbf907aaa847093", VARCHAR(32) = "b029d52308ea4fbda43ceba2cfa78054", VARCHAR(32) = "b580b9b58ea14d159fcbf78ea9d5a4bc" WHERE (VARCHAR(16) = "MCD");</v>
      </c>
      <c r="B5" s="7" t="str" cm="1">
        <f t="array" ref="B5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"1e2fc9b459044cda8554e92177cc2438","MCD","McDonald's Corporation","USD","USD","d56d9f2812d94be4bfbf907aaa847093","b029d52308ea4fbda43ceba2cfa78054","b580b9b58ea14d159fcbf78ea9d5a4bc",0.59706,"31/12/2020",2020,0.0214,0.00046,0.69064003,);</v>
      </c>
      <c r="C5" s="9" t="s">
        <v>359</v>
      </c>
      <c r="D5" t="s">
        <v>285</v>
      </c>
      <c r="E5" t="s">
        <v>286</v>
      </c>
      <c r="F5" t="s">
        <v>12</v>
      </c>
      <c r="G5" t="s">
        <v>12</v>
      </c>
      <c r="H5" s="9" t="s">
        <v>380</v>
      </c>
      <c r="I5" s="10" t="s">
        <v>13</v>
      </c>
      <c r="J5" s="9" t="s">
        <v>262</v>
      </c>
      <c r="K5" s="10" t="s">
        <v>104</v>
      </c>
      <c r="L5" s="9" t="s">
        <v>369</v>
      </c>
      <c r="M5" s="10" t="s">
        <v>287</v>
      </c>
      <c r="N5">
        <v>0.59706000000000004</v>
      </c>
      <c r="O5" s="4">
        <v>44196</v>
      </c>
      <c r="P5">
        <v>2020</v>
      </c>
      <c r="Q5">
        <v>2.1399999999999999E-2</v>
      </c>
      <c r="R5">
        <v>4.6000000000000001E-4</v>
      </c>
      <c r="S5">
        <v>0.69064002999999996</v>
      </c>
    </row>
    <row r="6" spans="1:20" x14ac:dyDescent="0.25">
      <c r="A6" s="7" t="str" cm="1">
        <f t="array" ref="A6">SQLupdate("Variables", 1, "NULL", Companies[[#This Row],[Ticker]], Companies[[#This Row],[CompanyId]],Companies[[#This Row],[CountryId]], Companies[[#This Row],[IndustryId]], Companies[[#This Row],[SectorId]])</f>
        <v>UPDATE Variables SET VARCHAR(32) = "ddf28b2726e44f3e804640c81ca15e37", VARCHAR(32) = "d56d9f2812d94be4bfbf907aaa847093", VARCHAR(32) = "4de8ff299f3447d4bb981ee7fa28b2a5", VARCHAR(32) = "e54d4e98453c4ba2824fa1e65ad3be3a" WHERE (VARCHAR(16) = "ATVI");</v>
      </c>
      <c r="B6" s="7" t="str" cm="1">
        <f t="array" ref="B6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"ddf28b2726e44f3e804640c81ca15e37","ATVI","Activision Blizzard, Inc","USD","USD","d56d9f2812d94be4bfbf907aaa847093","4de8ff299f3447d4bb981ee7fa28b2a5","e54d4e98453c4ba2824fa1e65ad3be3a",0.697415,"31/12/2020",2020,0.0057,0.00727,0.88164,);</v>
      </c>
      <c r="C6" s="9" t="s">
        <v>332</v>
      </c>
      <c r="D6" t="s">
        <v>124</v>
      </c>
      <c r="E6" t="s">
        <v>123</v>
      </c>
      <c r="F6" t="s">
        <v>12</v>
      </c>
      <c r="G6" t="s">
        <v>12</v>
      </c>
      <c r="H6" s="9" t="s">
        <v>380</v>
      </c>
      <c r="I6" s="10" t="s">
        <v>13</v>
      </c>
      <c r="J6" s="9" t="s">
        <v>255</v>
      </c>
      <c r="K6" s="10" t="s">
        <v>122</v>
      </c>
      <c r="L6" s="9" t="s">
        <v>370</v>
      </c>
      <c r="M6" s="10" t="s">
        <v>288</v>
      </c>
      <c r="N6">
        <v>0.69741500000000001</v>
      </c>
      <c r="O6" s="4">
        <v>44196</v>
      </c>
      <c r="P6">
        <v>2020</v>
      </c>
      <c r="Q6">
        <v>5.7000000000000002E-3</v>
      </c>
      <c r="R6">
        <v>7.2700000000000004E-3</v>
      </c>
      <c r="S6">
        <v>0.88163999999999998</v>
      </c>
    </row>
    <row r="7" spans="1:20" x14ac:dyDescent="0.25">
      <c r="A7" s="7" t="str" cm="1">
        <f t="array" ref="A7">SQLupdate("Variables", 1, "NULL", Companies[[#This Row],[Ticker]], Companies[[#This Row],[CompanyId]],Companies[[#This Row],[CountryId]], Companies[[#This Row],[IndustryId]], Companies[[#This Row],[SectorId]])</f>
        <v>UPDATE Variables SET VARCHAR(32) = "c87370c4b05342eeb240e4ca5c651495", VARCHAR(32) = "d562b7290f83412486db78eeca1a1571", VARCHAR(32) = "5f50aeaa8bec4278a8e5b945567cf0ba", VARCHAR(32) = "e54d4e98453c4ba2824fa1e65ad3be3a" WHERE (VARCHAR(16) = "TEF.MC");</v>
      </c>
      <c r="B7" s="7" t="str" cm="1">
        <f t="array" ref="B7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"c87370c4b05342eeb240e4ca5c651495","TEF.MC","TELEFONICA,S.A.","EUR","EUR","d562b7290f83412486db78eeca1a1571","5f50aeaa8bec4278a8e5b945567cf0ba","e54d4e98453c4ba2824fa1e65ad3be3a",0.840085,"31/12/2021",2020,0.0867,0.09126,0.19181,5779049984);</v>
      </c>
      <c r="C7" s="9" t="s">
        <v>316</v>
      </c>
      <c r="D7" t="s">
        <v>139</v>
      </c>
      <c r="E7" t="s">
        <v>138</v>
      </c>
      <c r="F7" t="s">
        <v>3</v>
      </c>
      <c r="G7" t="s">
        <v>3</v>
      </c>
      <c r="H7" s="9" t="s">
        <v>381</v>
      </c>
      <c r="I7" s="10" t="s">
        <v>25</v>
      </c>
      <c r="J7" s="9" t="s">
        <v>252</v>
      </c>
      <c r="K7" s="10" t="s">
        <v>109</v>
      </c>
      <c r="L7" s="9" t="s">
        <v>370</v>
      </c>
      <c r="M7" s="10" t="s">
        <v>288</v>
      </c>
      <c r="N7">
        <v>0.84008499999999997</v>
      </c>
      <c r="O7" s="4">
        <v>44561</v>
      </c>
      <c r="P7">
        <v>2020</v>
      </c>
      <c r="Q7">
        <v>8.6699999999999999E-2</v>
      </c>
      <c r="R7">
        <v>9.1259999999999994E-2</v>
      </c>
      <c r="S7">
        <v>0.19181000000000001</v>
      </c>
      <c r="T7">
        <v>5779049984</v>
      </c>
    </row>
    <row r="8" spans="1:20" x14ac:dyDescent="0.25">
      <c r="A8" s="7" t="str" cm="1">
        <f t="array" ref="A8">SQLupdate("Variables", 1, "NULL", Companies[[#This Row],[Ticker]], Companies[[#This Row],[CompanyId]],Companies[[#This Row],[CountryId]], Companies[[#This Row],[IndustryId]], Companies[[#This Row],[SectorId]])</f>
        <v>UPDATE Variables SET VARCHAR(32) = "4026c9373392433c9c9c02bcd4ca4511", VARCHAR(32) = "c981e5cfd9ad41f68891f020f5b1d9ca", VARCHAR(32) = "8921f3f2b17e42b3ad321d7e00abdcd0", VARCHAR(32) = "da0227ccdfd2471b94078b745f53e9aa" WHERE (VARCHAR(16) = "UL");</v>
      </c>
      <c r="B8" s="7" t="str" cm="1">
        <f t="array" ref="B8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"4026c9373392433c9c9c02bcd4ca4511","UL","Unilever PLC","USD","EUR","c981e5cfd9ad41f68891f020f5b1d9ca","8921f3f2b17e42b3ad321d7e00abdcd0","da0227ccdfd2471b94078b745f53e9aa",0.167658,"31/12/2020",2020,0.041199997,0.000010000001,0.09834,);</v>
      </c>
      <c r="C8" s="9" t="s">
        <v>322</v>
      </c>
      <c r="D8" t="s">
        <v>121</v>
      </c>
      <c r="E8" t="s">
        <v>120</v>
      </c>
      <c r="F8" t="s">
        <v>12</v>
      </c>
      <c r="G8" t="s">
        <v>3</v>
      </c>
      <c r="H8" s="9" t="s">
        <v>382</v>
      </c>
      <c r="I8" s="10" t="s">
        <v>10</v>
      </c>
      <c r="J8" s="9" t="s">
        <v>256</v>
      </c>
      <c r="K8" s="10" t="s">
        <v>39</v>
      </c>
      <c r="L8" s="9" t="s">
        <v>371</v>
      </c>
      <c r="M8" s="10" t="s">
        <v>289</v>
      </c>
      <c r="N8">
        <v>0.167658</v>
      </c>
      <c r="O8" s="4">
        <v>44196</v>
      </c>
      <c r="P8">
        <v>2020</v>
      </c>
      <c r="Q8">
        <v>4.1199997000000002E-2</v>
      </c>
      <c r="R8" s="5">
        <v>1.0000001E-5</v>
      </c>
      <c r="S8">
        <v>9.8339999999999997E-2</v>
      </c>
    </row>
    <row r="9" spans="1:20" x14ac:dyDescent="0.25">
      <c r="A9" s="7" t="str" cm="1">
        <f t="array" ref="A9">SQLupdate("Variables", 1, "NULL", Companies[[#This Row],[Ticker]], Companies[[#This Row],[CompanyId]],Companies[[#This Row],[CountryId]], Companies[[#This Row],[IndustryId]], Companies[[#This Row],[SectorId]])</f>
        <v>UPDATE Variables SET VARCHAR(32) = "8a4f7a0b1caf4f58ac13d517673a5262", VARCHAR(32) = "3e8853bbaebd453688f689ac70ed2299", VARCHAR(32) = "ab42057f7bea4dec8b5e7cf73fd2516f", VARCHAR(32) = "b580b9b58ea14d159fcbf78ea9d5a4bc" WHERE (VARCHAR(16) = "BABA");</v>
      </c>
      <c r="B9" s="7" t="str" cm="1">
        <f t="array" ref="B9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"8a4f7a0b1caf4f58ac13d517673a5262","BABA","Alibaba Group Holding Limited","USD","CNY","3e8853bbaebd453688f689ac70ed2299","ab42057f7bea4dec8b5e7cf73fd2516f","b580b9b58ea14d159fcbf78ea9d5a4bc",0.881397,"31/03/2021",2020,0,0.00021,0.18978001,2687500032);</v>
      </c>
      <c r="C9" s="9" t="s">
        <v>314</v>
      </c>
      <c r="D9" t="s">
        <v>143</v>
      </c>
      <c r="E9" t="s">
        <v>142</v>
      </c>
      <c r="F9" t="s">
        <v>12</v>
      </c>
      <c r="G9" t="s">
        <v>0</v>
      </c>
      <c r="H9" s="9" t="s">
        <v>383</v>
      </c>
      <c r="I9" s="10" t="s">
        <v>30</v>
      </c>
      <c r="J9" s="9" t="s">
        <v>251</v>
      </c>
      <c r="K9" s="10" t="s">
        <v>31</v>
      </c>
      <c r="L9" s="9" t="s">
        <v>369</v>
      </c>
      <c r="M9" s="10" t="s">
        <v>287</v>
      </c>
      <c r="N9">
        <v>0.88139699999999999</v>
      </c>
      <c r="O9" s="4">
        <v>44286</v>
      </c>
      <c r="P9">
        <v>2020</v>
      </c>
      <c r="Q9">
        <v>0</v>
      </c>
      <c r="R9">
        <v>2.1000000000000001E-4</v>
      </c>
      <c r="S9">
        <v>0.18978001</v>
      </c>
      <c r="T9">
        <v>2687500032</v>
      </c>
    </row>
    <row r="10" spans="1:20" x14ac:dyDescent="0.25">
      <c r="A10" s="7" t="str" cm="1">
        <f t="array" ref="A10">SQLupdate("Variables", 1, "NULL", Companies[[#This Row],[Ticker]], Companies[[#This Row],[CompanyId]],Companies[[#This Row],[CountryId]], Companies[[#This Row],[IndustryId]], Companies[[#This Row],[SectorId]])</f>
        <v>UPDATE Variables SET VARCHAR(32) = "83fb7cd1aeb548d5a46c18c4203d483c", VARCHAR(32) = "3e8853bbaebd453688f689ac70ed2299", VARCHAR(32) = "ab42057f7bea4dec8b5e7cf73fd2516f", VARCHAR(32) = "b580b9b58ea14d159fcbf78ea9d5a4bc" WHERE (VARCHAR(16) = "9988.HK");</v>
      </c>
      <c r="B10" s="7" t="str" cm="1">
        <f t="array" ref="B10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"83fb7cd1aeb548d5a46c18c4203d483c","9988.HK","BABA-SW","HKD","CNY","3e8853bbaebd453688f689ac70ed2299","ab42057f7bea4dec8b5e7cf73fd2516f","b580b9b58ea14d159fcbf78ea9d5a4bc",0.881397,"31/03/2021",2020,0,0.30688998,0.16529,21500000256);</v>
      </c>
      <c r="C10" s="9" t="s">
        <v>355</v>
      </c>
      <c r="D10" t="s">
        <v>33</v>
      </c>
      <c r="E10" t="s">
        <v>32</v>
      </c>
      <c r="F10" t="s">
        <v>29</v>
      </c>
      <c r="G10" t="s">
        <v>0</v>
      </c>
      <c r="H10" s="9" t="s">
        <v>383</v>
      </c>
      <c r="I10" s="10" t="s">
        <v>30</v>
      </c>
      <c r="J10" s="9" t="s">
        <v>251</v>
      </c>
      <c r="K10" s="10" t="s">
        <v>31</v>
      </c>
      <c r="L10" s="9" t="s">
        <v>369</v>
      </c>
      <c r="M10" s="10" t="s">
        <v>287</v>
      </c>
      <c r="N10">
        <v>0.88139699999999999</v>
      </c>
      <c r="O10" s="4">
        <v>44286</v>
      </c>
      <c r="P10">
        <v>2020</v>
      </c>
      <c r="Q10">
        <v>0</v>
      </c>
      <c r="R10">
        <v>0.30688998000000001</v>
      </c>
      <c r="S10">
        <v>0.16528999999999999</v>
      </c>
      <c r="T10">
        <v>21500000256</v>
      </c>
    </row>
    <row r="11" spans="1:20" x14ac:dyDescent="0.25">
      <c r="A11" s="7" t="str" cm="1">
        <f t="array" ref="A11">SQLupdate("Variables", 1, "NULL", Companies[[#This Row],[Ticker]], Companies[[#This Row],[CompanyId]],Companies[[#This Row],[CountryId]], Companies[[#This Row],[IndustryId]], Companies[[#This Row],[SectorId]])</f>
        <v>UPDATE Variables SET VARCHAR(32) = "af308843540445a584fd60bab7ee816f", VARCHAR(32) = "d56d9f2812d94be4bfbf907aaa847093", VARCHAR(32) = "0e3978718a394261b4b9f8376b21ed40", VARCHAR(32) = "e55df1410a5e45d38db4a23885a5c6b4" WHERE (VARCHAR(16) = "EDF");</v>
      </c>
      <c r="B11" s="7" t="str" cm="1">
        <f t="array" ref="B11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"af308843540445a584fd60bab7ee816f","EDF","Stone Harbor Emerging Markets I","USD","USD","d56d9f2812d94be4bfbf907aaa847093","0e3978718a394261b4b9f8376b21ed40","e55df1410a5e45d38db4a23885a5c6b4",1,"30/11/2020",2020,0.1154,0.00442,0.1159,16843900);</v>
      </c>
      <c r="C11" s="9" t="s">
        <v>360</v>
      </c>
      <c r="D11" t="s">
        <v>2</v>
      </c>
      <c r="E11" t="s">
        <v>290</v>
      </c>
      <c r="F11" t="s">
        <v>12</v>
      </c>
      <c r="G11" t="s">
        <v>12</v>
      </c>
      <c r="H11" s="9" t="s">
        <v>380</v>
      </c>
      <c r="I11" s="10" t="s">
        <v>13</v>
      </c>
      <c r="J11" s="9" t="s">
        <v>365</v>
      </c>
      <c r="K11" s="10" t="s">
        <v>291</v>
      </c>
      <c r="L11" s="9" t="s">
        <v>372</v>
      </c>
      <c r="M11" s="10" t="s">
        <v>292</v>
      </c>
      <c r="N11">
        <v>1</v>
      </c>
      <c r="O11" s="4">
        <v>44165</v>
      </c>
      <c r="P11">
        <v>2020</v>
      </c>
      <c r="Q11">
        <v>0.1154</v>
      </c>
      <c r="R11">
        <v>4.4200000000000003E-3</v>
      </c>
      <c r="S11">
        <v>0.1159</v>
      </c>
      <c r="T11">
        <v>16843900</v>
      </c>
    </row>
    <row r="12" spans="1:20" x14ac:dyDescent="0.25">
      <c r="A12" s="7" t="str" cm="1">
        <f t="array" ref="A12">SQLupdate("Variables", 1, "NULL", Companies[[#This Row],[Ticker]], Companies[[#This Row],[CompanyId]],Companies[[#This Row],[CountryId]], Companies[[#This Row],[IndustryId]], Companies[[#This Row],[SectorId]])</f>
        <v>UPDATE Variables SET VARCHAR(32) = "858949ff4ec046a88c19350dbd94a4d2", VARCHAR(32) = "ef4eb3ba9070411b9fdb0e2d7bb7ecda", VARCHAR(32) = "ffe199507e8c4f6fa6c7e379fe752f82", VARCHAR(32) = "c83db4a857dc4b91b157a7f4fb4e2f05" WHERE (VARCHAR(16) = "EDF.PA");</v>
      </c>
      <c r="B12" s="7" t="str" cm="1">
        <f t="array" ref="B12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"858949ff4ec046a88c19350dbd94a4d2","EDF.PA","EDF","EUR","EUR","ef4eb3ba9070411b9fdb0e2d7bb7ecda","ffe199507e8c4f6fa6c7e379fe752f82","c83db4a857dc4b91b157a7f4fb4e2f05",0.888588,"31/12/2020",2019,0.0617,0.82986,0.039049998,3237499904);</v>
      </c>
      <c r="C12" s="9" t="s">
        <v>333</v>
      </c>
      <c r="D12" t="s">
        <v>119</v>
      </c>
      <c r="E12" t="s">
        <v>2</v>
      </c>
      <c r="F12" t="s">
        <v>3</v>
      </c>
      <c r="G12" t="s">
        <v>3</v>
      </c>
      <c r="H12" s="9" t="s">
        <v>384</v>
      </c>
      <c r="I12" s="10" t="s">
        <v>9</v>
      </c>
      <c r="J12" s="9" t="s">
        <v>257</v>
      </c>
      <c r="K12" s="10" t="s">
        <v>118</v>
      </c>
      <c r="L12" s="9" t="s">
        <v>373</v>
      </c>
      <c r="M12" s="10" t="s">
        <v>293</v>
      </c>
      <c r="N12">
        <v>0.88858800000000004</v>
      </c>
      <c r="O12" s="4">
        <v>44196</v>
      </c>
      <c r="P12">
        <v>2019</v>
      </c>
      <c r="Q12">
        <v>6.1699999999999998E-2</v>
      </c>
      <c r="R12">
        <v>0.82986000000000004</v>
      </c>
      <c r="S12">
        <v>3.9049998000000002E-2</v>
      </c>
      <c r="T12">
        <v>3237499904</v>
      </c>
    </row>
    <row r="13" spans="1:20" x14ac:dyDescent="0.25">
      <c r="A13" s="7" t="str" cm="1">
        <f t="array" ref="A13">SQLupdate("Variables", 1, "NULL", Companies[[#This Row],[Ticker]], Companies[[#This Row],[CompanyId]],Companies[[#This Row],[CountryId]], Companies[[#This Row],[IndustryId]], Companies[[#This Row],[SectorId]])</f>
        <v>UPDATE Variables SET VARCHAR(32) = "a024fbbf36aa41b9956fece11c7743b7", VARCHAR(32) = "d56d9f2812d94be4bfbf907aaa847093", VARCHAR(32) = "615be309c15d44b9abe7e5d740032d6d", VARCHAR(32) = "a436973cb1f74733849efe879a001a52" WHERE (VARCHAR(16) = "GE");</v>
      </c>
      <c r="B13" s="7" t="str" cm="1">
        <f t="array" ref="B13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"a024fbbf36aa41b9956fece11c7743b7","GE","General Electric Company","USD","USD","d56d9f2812d94be4bfbf907aaa847093","615be309c15d44b9abe7e5d740032d6d","a436973cb1f74733849efe879a001a52",1.035478,"31/12/2020",2019,0.0033000002,0.00242,0.72029,1098140032);</v>
      </c>
      <c r="C13" s="9" t="s">
        <v>323</v>
      </c>
      <c r="D13" t="s">
        <v>117</v>
      </c>
      <c r="E13" t="s">
        <v>116</v>
      </c>
      <c r="F13" t="s">
        <v>12</v>
      </c>
      <c r="G13" t="s">
        <v>12</v>
      </c>
      <c r="H13" s="9" t="s">
        <v>380</v>
      </c>
      <c r="I13" s="10" t="s">
        <v>13</v>
      </c>
      <c r="J13" s="9" t="s">
        <v>258</v>
      </c>
      <c r="K13" s="10" t="s">
        <v>45</v>
      </c>
      <c r="L13" s="9" t="s">
        <v>374</v>
      </c>
      <c r="M13" s="10" t="s">
        <v>294</v>
      </c>
      <c r="N13">
        <v>1.0354779999999999</v>
      </c>
      <c r="O13" s="4">
        <v>44196</v>
      </c>
      <c r="P13">
        <v>2019</v>
      </c>
      <c r="Q13">
        <v>3.3000002000000001E-3</v>
      </c>
      <c r="R13">
        <v>2.4199999999999998E-3</v>
      </c>
      <c r="S13">
        <v>0.72028999999999999</v>
      </c>
      <c r="T13">
        <v>1098140032</v>
      </c>
    </row>
    <row r="14" spans="1:20" x14ac:dyDescent="0.25">
      <c r="A14" s="7" t="str" cm="1">
        <f t="array" ref="A14">SQLupdate("Variables", 1, "NULL", Companies[[#This Row],[Ticker]], Companies[[#This Row],[CompanyId]],Companies[[#This Row],[CountryId]], Companies[[#This Row],[IndustryId]], Companies[[#This Row],[SectorId]])</f>
        <v>UPDATE Variables SET VARCHAR(32) = "b1e501758e9d4c87bcf25bd5547ec375", VARCHAR(32) = "3e8853bbaebd453688f689ac70ed2299", VARCHAR(32) = "78846dd001d54eb7936d1227c5296be8", VARCHAR(32) = "e54d4e98453c4ba2824fa1e65ad3be3a" WHERE (VARCHAR(16) = "BIDU");</v>
      </c>
      <c r="B14" s="7" t="str" cm="1">
        <f t="array" ref="B14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"b1e501758e9d4c87bcf25bd5547ec375","BIDU","Baidu, Inc.","USD","CNY","3e8853bbaebd453688f689ac70ed2299","78846dd001d54eb7936d1227c5296be8","e54d4e98453c4ba2824fa1e65ad3be3a",1.016725,"31/12/2020",2019,0,0.00361,0.57787,348059008);</v>
      </c>
      <c r="C14" s="9" t="s">
        <v>334</v>
      </c>
      <c r="D14" t="s">
        <v>115</v>
      </c>
      <c r="E14" t="s">
        <v>114</v>
      </c>
      <c r="F14" t="s">
        <v>12</v>
      </c>
      <c r="G14" t="s">
        <v>0</v>
      </c>
      <c r="H14" s="9" t="s">
        <v>383</v>
      </c>
      <c r="I14" s="10" t="s">
        <v>30</v>
      </c>
      <c r="J14" s="9" t="s">
        <v>259</v>
      </c>
      <c r="K14" s="10" t="s">
        <v>42</v>
      </c>
      <c r="L14" s="9" t="s">
        <v>370</v>
      </c>
      <c r="M14" s="10" t="s">
        <v>288</v>
      </c>
      <c r="N14">
        <v>1.0167250000000001</v>
      </c>
      <c r="O14" s="4">
        <v>44196</v>
      </c>
      <c r="P14">
        <v>2019</v>
      </c>
      <c r="Q14">
        <v>0</v>
      </c>
      <c r="R14">
        <v>3.6099999999999999E-3</v>
      </c>
      <c r="S14">
        <v>0.57786999999999999</v>
      </c>
      <c r="T14">
        <v>348059008</v>
      </c>
    </row>
    <row r="15" spans="1:20" x14ac:dyDescent="0.25">
      <c r="A15" s="7" t="str" cm="1">
        <f t="array" ref="A15">SQLupdate("Variables", 1, "NULL", Companies[[#This Row],[Ticker]], Companies[[#This Row],[CompanyId]],Companies[[#This Row],[CountryId]], Companies[[#This Row],[IndustryId]], Companies[[#This Row],[SectorId]])</f>
        <v>UPDATE Variables SET VARCHAR(32) = "27a1819ebc1548559bfb2dbef5034c99", VARCHAR(32) = "d56d9f2812d94be4bfbf907aaa847093", VARCHAR(32) = "676dbe7fb48d468eb825d10efe25e743", VARCHAR(32) = "2fd75f24aa5149e7b17a86a49123ac88" WHERE (VARCHAR(16) = "INTC");</v>
      </c>
      <c r="B15" s="7" t="str" cm="1">
        <f t="array" ref="B15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"27a1819ebc1548559bfb2dbef5034c99","INTC","Intel Corporation","USD","USD","d56d9f2812d94be4bfbf907aaa847093","676dbe7fb48d468eb825d10efe25e743","2fd75f24aa5149e7b17a86a49123ac88",0.535554,"31/12/2021",2020,0.0301,0.0007,0.64913005,4072000000);</v>
      </c>
      <c r="C15" s="9" t="s">
        <v>335</v>
      </c>
      <c r="D15" t="s">
        <v>113</v>
      </c>
      <c r="E15" t="s">
        <v>112</v>
      </c>
      <c r="F15" t="s">
        <v>12</v>
      </c>
      <c r="G15" t="s">
        <v>12</v>
      </c>
      <c r="H15" s="9" t="s">
        <v>380</v>
      </c>
      <c r="I15" s="10" t="s">
        <v>13</v>
      </c>
      <c r="J15" s="9" t="s">
        <v>260</v>
      </c>
      <c r="K15" s="10" t="s">
        <v>14</v>
      </c>
      <c r="L15" s="9" t="s">
        <v>368</v>
      </c>
      <c r="M15" s="10" t="s">
        <v>284</v>
      </c>
      <c r="N15">
        <v>0.53555399999999997</v>
      </c>
      <c r="O15" s="4">
        <v>44561</v>
      </c>
      <c r="P15">
        <v>2020</v>
      </c>
      <c r="Q15">
        <v>3.0099999999999998E-2</v>
      </c>
      <c r="R15">
        <v>6.9999999999999999E-4</v>
      </c>
      <c r="S15">
        <v>0.64913005000000001</v>
      </c>
      <c r="T15">
        <v>4072000000</v>
      </c>
    </row>
    <row r="16" spans="1:20" x14ac:dyDescent="0.25">
      <c r="A16" s="7" t="str" cm="1">
        <f t="array" ref="A16">SQLupdate("Variables", 1, "NULL", Companies[[#This Row],[Ticker]], Companies[[#This Row],[CompanyId]],Companies[[#This Row],[CountryId]], Companies[[#This Row],[IndustryId]], Companies[[#This Row],[SectorId]])</f>
        <v>UPDATE Variables SET VARCHAR(32) = "83483bb34aed4456a558053e108fc571", VARCHAR(32) = "3e8853bbaebd453688f689ac70ed2299", VARCHAR(32) = "5f50aeaa8bec4278a8e5b945567cf0ba", VARCHAR(32) = "e54d4e98453c4ba2824fa1e65ad3be3a" WHERE (VARCHAR(16) = "0788.HK");</v>
      </c>
      <c r="B16" s="7" t="str" cm="1">
        <f t="array" ref="B16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"83483bb34aed4456a558053e108fc571","0788.HK","CHINA TOWER","HKD","CNY","3e8853bbaebd453688f689ac70ed2299","5f50aeaa8bec4278a8e5b945567cf0ba","e54d4e98453c4ba2824fa1e65ad3be3a",0.111382,"31/12/2020",2019,0.028299998,0,0.24531001,46663901184);</v>
      </c>
      <c r="C16" s="9" t="s">
        <v>336</v>
      </c>
      <c r="D16" t="s">
        <v>111</v>
      </c>
      <c r="E16" t="s">
        <v>110</v>
      </c>
      <c r="F16" t="s">
        <v>29</v>
      </c>
      <c r="G16" t="s">
        <v>0</v>
      </c>
      <c r="H16" s="9" t="s">
        <v>383</v>
      </c>
      <c r="I16" s="10" t="s">
        <v>30</v>
      </c>
      <c r="J16" s="9" t="s">
        <v>252</v>
      </c>
      <c r="K16" s="10" t="s">
        <v>109</v>
      </c>
      <c r="L16" s="9" t="s">
        <v>370</v>
      </c>
      <c r="M16" s="10" t="s">
        <v>288</v>
      </c>
      <c r="N16">
        <v>0.11138199999999999</v>
      </c>
      <c r="O16" s="4">
        <v>44196</v>
      </c>
      <c r="P16">
        <v>2019</v>
      </c>
      <c r="Q16">
        <v>2.8299998E-2</v>
      </c>
      <c r="R16">
        <v>0</v>
      </c>
      <c r="S16">
        <v>0.24531001</v>
      </c>
      <c r="T16">
        <v>46663901184</v>
      </c>
    </row>
    <row r="17" spans="1:20" x14ac:dyDescent="0.25">
      <c r="A17" s="7" t="str" cm="1">
        <f t="array" ref="A17">SQLupdate("Variables", 1, "NULL", Companies[[#This Row],[Ticker]], Companies[[#This Row],[CompanyId]],Companies[[#This Row],[CountryId]], Companies[[#This Row],[IndustryId]], Companies[[#This Row],[SectorId]])</f>
        <v>UPDATE Variables SET VARCHAR(32) = "d0075a1c73044f51b224119379dc022a", VARCHAR(32) = "3e8853bbaebd453688f689ac70ed2299", VARCHAR(32) = "80d974e961af4087b784ae98698f8146", VARCHAR(32) = "9ad2a2ce48a14504a8083636de7677b2" WHERE (VARCHAR(16) = "2168.HK");</v>
      </c>
      <c r="B17" s="7" t="str" cm="1">
        <f t="array" ref="B17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"d0075a1c73044f51b224119379dc022a","2168.HK","KAISA PROSPER","HKD","CNY","3e8853bbaebd453688f689ac70ed2299","80d974e961af4087b784ae98698f8146","9ad2a2ce48a14504a8083636de7677b2",-0.097794,"31/12/2020",2019,0.0757,0.67179,0.04046,154110000);</v>
      </c>
      <c r="C17" s="9" t="s">
        <v>337</v>
      </c>
      <c r="D17" t="s">
        <v>108</v>
      </c>
      <c r="E17" t="s">
        <v>107</v>
      </c>
      <c r="F17" t="s">
        <v>29</v>
      </c>
      <c r="G17" t="s">
        <v>0</v>
      </c>
      <c r="H17" s="9" t="s">
        <v>383</v>
      </c>
      <c r="I17" s="10" t="s">
        <v>30</v>
      </c>
      <c r="J17" s="9" t="s">
        <v>261</v>
      </c>
      <c r="K17" s="10" t="s">
        <v>61</v>
      </c>
      <c r="L17" s="9" t="s">
        <v>375</v>
      </c>
      <c r="M17" s="10" t="s">
        <v>295</v>
      </c>
      <c r="N17">
        <v>-9.7794000000000006E-2</v>
      </c>
      <c r="O17" s="4">
        <v>44196</v>
      </c>
      <c r="P17">
        <v>2019</v>
      </c>
      <c r="Q17">
        <v>7.5700000000000003E-2</v>
      </c>
      <c r="R17">
        <v>0.67179</v>
      </c>
      <c r="S17">
        <v>4.0460000000000003E-2</v>
      </c>
      <c r="T17">
        <v>154110000</v>
      </c>
    </row>
    <row r="18" spans="1:20" x14ac:dyDescent="0.25">
      <c r="A18" s="7" t="str" cm="1">
        <f t="array" ref="A18">SQLupdate("Variables", 1, "NULL", Companies[[#This Row],[Ticker]], Companies[[#This Row],[CompanyId]],Companies[[#This Row],[CountryId]], Companies[[#This Row],[IndustryId]], Companies[[#This Row],[SectorId]])</f>
        <v>UPDATE Variables SET VARCHAR(32) = "59f6a403fd9d42e5ab1c9b323ca7f106", VARCHAR(32) = "ef4eb3ba9070411b9fdb0e2d7bb7ecda", VARCHAR(32) = "d8e71bfac07c4902a56cc0fe4d26e5c5", VARCHAR(32) = "a08ce34da04f4ab8b7c796f30dc40876" WHERE (VARCHAR(16) = "ORP.PA");</v>
      </c>
      <c r="B18" s="7" t="str" cm="1">
        <f t="array" ref="B18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"59f6a403fd9d42e5ab1c9b323ca7f106","ORP.PA","ORPEA","EUR","EUR","ef4eb3ba9070411b9fdb0e2d7bb7ecda","d8e71bfac07c4902a56cc0fe4d26e5c5","a08ce34da04f4ab8b7c796f30dc40876",0.803136,"31/12/2020",2019,0.0163,0.050780002,0.53564,64587500);</v>
      </c>
      <c r="C18" s="9" t="s">
        <v>308</v>
      </c>
      <c r="D18" t="s">
        <v>159</v>
      </c>
      <c r="E18" t="s">
        <v>158</v>
      </c>
      <c r="F18" t="s">
        <v>3</v>
      </c>
      <c r="G18" t="s">
        <v>3</v>
      </c>
      <c r="H18" s="9" t="s">
        <v>384</v>
      </c>
      <c r="I18" s="10" t="s">
        <v>9</v>
      </c>
      <c r="J18" s="9" t="s">
        <v>247</v>
      </c>
      <c r="K18" s="10" t="s">
        <v>155</v>
      </c>
      <c r="L18" s="9" t="s">
        <v>376</v>
      </c>
      <c r="M18" s="10" t="s">
        <v>296</v>
      </c>
      <c r="N18">
        <v>0.80313599999999996</v>
      </c>
      <c r="O18" s="4">
        <v>44196</v>
      </c>
      <c r="P18">
        <v>2019</v>
      </c>
      <c r="Q18">
        <v>1.6299999999999999E-2</v>
      </c>
      <c r="R18">
        <v>5.0780001999999998E-2</v>
      </c>
      <c r="S18">
        <v>0.53564000000000001</v>
      </c>
      <c r="T18">
        <v>64587500</v>
      </c>
    </row>
    <row r="19" spans="1:20" x14ac:dyDescent="0.25">
      <c r="A19" s="7" t="str" cm="1">
        <f t="array" ref="A19">SQLupdate("Variables", 1, "NULL", Companies[[#This Row],[Ticker]], Companies[[#This Row],[CompanyId]],Companies[[#This Row],[CountryId]], Companies[[#This Row],[IndustryId]], Companies[[#This Row],[SectorId]])</f>
        <v>UPDATE Variables SET VARCHAR(32) = "7ee1302635724e59953dc411f782dc97", VARCHAR(32) = "ef4eb3ba9070411b9fdb0e2d7bb7ecda", VARCHAR(32) = "d8e71bfac07c4902a56cc0fe4d26e5c5", VARCHAR(32) = "a08ce34da04f4ab8b7c796f30dc40876" WHERE (VARCHAR(16) = "KORI.PA");</v>
      </c>
      <c r="B19" s="7" t="str" cm="1">
        <f t="array" ref="B19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"7ee1302635724e59953dc411f782dc97","KORI.PA","KORIAN","EUR","EUR","ef4eb3ba9070411b9fdb0e2d7bb7ecda","d8e71bfac07c4902a56cc0fe4d26e5c5","a08ce34da04f4ab8b7c796f30dc40876",0.9371,"31/12/2021",2020,0.015,0.31996,0.27038,103618000);</v>
      </c>
      <c r="C19" s="9" t="s">
        <v>309</v>
      </c>
      <c r="D19" t="s">
        <v>157</v>
      </c>
      <c r="E19" t="s">
        <v>156</v>
      </c>
      <c r="F19" t="s">
        <v>3</v>
      </c>
      <c r="G19" t="s">
        <v>3</v>
      </c>
      <c r="H19" s="9" t="s">
        <v>384</v>
      </c>
      <c r="I19" s="10" t="s">
        <v>9</v>
      </c>
      <c r="J19" s="9" t="s">
        <v>247</v>
      </c>
      <c r="K19" s="10" t="s">
        <v>155</v>
      </c>
      <c r="L19" s="9" t="s">
        <v>376</v>
      </c>
      <c r="M19" s="10" t="s">
        <v>296</v>
      </c>
      <c r="N19">
        <v>0.93710000000000004</v>
      </c>
      <c r="O19" s="4">
        <v>44561</v>
      </c>
      <c r="P19">
        <v>2020</v>
      </c>
      <c r="Q19">
        <v>1.4999999999999999E-2</v>
      </c>
      <c r="R19">
        <v>0.31996000000000002</v>
      </c>
      <c r="S19">
        <v>0.27038000000000001</v>
      </c>
      <c r="T19">
        <v>103618000</v>
      </c>
    </row>
    <row r="20" spans="1:20" x14ac:dyDescent="0.25">
      <c r="A20" s="7" t="str" cm="1">
        <f t="array" ref="A20">SQLupdate("Variables", 1, "NULL", Companies[[#This Row],[Ticker]], Companies[[#This Row],[CompanyId]],Companies[[#This Row],[CountryId]], Companies[[#This Row],[IndustryId]], Companies[[#This Row],[SectorId]])</f>
        <v>UPDATE Variables SET VARCHAR(32) = "15632ba4e4504817bea2daa77b05c24f", VARCHAR(32) = "ef4eb3ba9070411b9fdb0e2d7bb7ecda", VARCHAR(32) = "d8e71bfac07c4902a56cc0fe4d26e5c5", VARCHAR(32) = "a08ce34da04f4ab8b7c796f30dc40876" WHERE (VARCHAR(16) = "LNA.PA");</v>
      </c>
      <c r="B20" s="7" t="str" cm="1">
        <f t="array" ref="B20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"15632ba4e4504817bea2daa77b05c24f","LNA.PA","LNA SANTE","EUR","EUR","ef4eb3ba9070411b9fdb0e2d7bb7ecda","d8e71bfac07c4902a56cc0fe4d26e5c5","a08ce34da04f4ab8b7c796f30dc40876",0.749053,"31/12/2020",2019,0.0047,0.42157,0.14863,9624550);</v>
      </c>
      <c r="C20" s="9" t="s">
        <v>307</v>
      </c>
      <c r="D20" t="s">
        <v>161</v>
      </c>
      <c r="E20" t="s">
        <v>160</v>
      </c>
      <c r="F20" t="s">
        <v>3</v>
      </c>
      <c r="G20" t="s">
        <v>3</v>
      </c>
      <c r="H20" s="9" t="s">
        <v>384</v>
      </c>
      <c r="I20" s="10" t="s">
        <v>9</v>
      </c>
      <c r="J20" s="9" t="s">
        <v>247</v>
      </c>
      <c r="K20" s="10" t="s">
        <v>155</v>
      </c>
      <c r="L20" s="9" t="s">
        <v>376</v>
      </c>
      <c r="M20" s="10" t="s">
        <v>296</v>
      </c>
      <c r="N20">
        <v>0.74905299999999997</v>
      </c>
      <c r="O20" s="4">
        <v>44196</v>
      </c>
      <c r="P20">
        <v>2019</v>
      </c>
      <c r="Q20">
        <v>4.7000000000000002E-3</v>
      </c>
      <c r="R20">
        <v>0.42157</v>
      </c>
      <c r="S20">
        <v>0.14863000000000001</v>
      </c>
      <c r="T20">
        <v>9624550</v>
      </c>
    </row>
    <row r="21" spans="1:20" x14ac:dyDescent="0.25">
      <c r="A21" s="7" t="str" cm="1">
        <f t="array" ref="A21">SQLupdate("Variables", 1, "NULL", Companies[[#This Row],[Ticker]], Companies[[#This Row],[CompanyId]],Companies[[#This Row],[CountryId]], Companies[[#This Row],[IndustryId]], Companies[[#This Row],[SectorId]])</f>
        <v>UPDATE Variables SET VARCHAR(32) = "c2a5ef1ff8a0400881864e526eba1a72", VARCHAR(32) = "ef4eb3ba9070411b9fdb0e2d7bb7ecda", VARCHAR(32) = "5f50aeaa8bec4278a8e5b945567cf0ba", VARCHAR(32) = "e54d4e98453c4ba2824fa1e65ad3be3a" WHERE (VARCHAR(16) = "ORA.PA");</v>
      </c>
      <c r="B21" s="7" t="str" cm="1">
        <f t="array" ref="B21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"c2a5ef1ff8a0400881864e526eba1a72","ORA.PA","ORANGE","EUR","EUR","ef4eb3ba9070411b9fdb0e2d7bb7ecda","5f50aeaa8bec4278a8e5b945567cf0ba","e54d4e98453c4ba2824fa1e65ad3be3a",0.210021,"31/12/2021",2020,0.064899996,0.13397,0.39042,2657819904);</v>
      </c>
      <c r="C21" s="9" t="s">
        <v>315</v>
      </c>
      <c r="D21" t="s">
        <v>141</v>
      </c>
      <c r="E21" t="s">
        <v>140</v>
      </c>
      <c r="F21" t="s">
        <v>3</v>
      </c>
      <c r="G21" t="s">
        <v>3</v>
      </c>
      <c r="H21" s="9" t="s">
        <v>384</v>
      </c>
      <c r="I21" s="10" t="s">
        <v>9</v>
      </c>
      <c r="J21" s="9" t="s">
        <v>252</v>
      </c>
      <c r="K21" s="10" t="s">
        <v>109</v>
      </c>
      <c r="L21" s="9" t="s">
        <v>370</v>
      </c>
      <c r="M21" s="10" t="s">
        <v>288</v>
      </c>
      <c r="N21">
        <v>0.21002100000000001</v>
      </c>
      <c r="O21" s="4">
        <v>44561</v>
      </c>
      <c r="P21">
        <v>2020</v>
      </c>
      <c r="Q21">
        <v>6.4899996000000001E-2</v>
      </c>
      <c r="R21">
        <v>0.13397000000000001</v>
      </c>
      <c r="S21">
        <v>0.39041999999999999</v>
      </c>
      <c r="T21">
        <v>2657819904</v>
      </c>
    </row>
    <row r="22" spans="1:20" x14ac:dyDescent="0.25">
      <c r="A22" s="7" t="str" cm="1">
        <f t="array" ref="A22">SQLupdate("Variables", 1, "NULL", Companies[[#This Row],[Ticker]], Companies[[#This Row],[CompanyId]],Companies[[#This Row],[CountryId]], Companies[[#This Row],[IndustryId]], Companies[[#This Row],[SectorId]])</f>
        <v>UPDATE Variables SET VARCHAR(32) = "b7606729eb0f40108774a995ec880afa", VARCHAR(32) = "8bf5b74ef4a74d118cfc8894e88fe5c9", VARCHAR(32) = "b029d52308ea4fbda43ceba2cfa78054", VARCHAR(32) = "b580b9b58ea14d159fcbf78ea9d5a4bc" WHERE (VARCHAR(16) = "MTY.TO");</v>
      </c>
      <c r="B22" s="7" t="str" cm="1">
        <f t="array" ref="B22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"b7606729eb0f40108774a995ec880afa","MTY.TO","MTY FOOD GROUP INC","CAD","CAD","8bf5b74ef4a74d118cfc8894e88fe5c9","b029d52308ea4fbda43ceba2cfa78054","b580b9b58ea14d159fcbf78ea9d5a4bc",2.071474,"30/11/2021",2020,0.0155,0.19436,0.32878,24669900);</v>
      </c>
      <c r="C22" s="9" t="s">
        <v>324</v>
      </c>
      <c r="D22" t="s">
        <v>106</v>
      </c>
      <c r="E22" t="s">
        <v>105</v>
      </c>
      <c r="F22" t="s">
        <v>1</v>
      </c>
      <c r="G22" t="s">
        <v>1</v>
      </c>
      <c r="H22" s="9" t="s">
        <v>385</v>
      </c>
      <c r="I22" s="10" t="s">
        <v>35</v>
      </c>
      <c r="J22" s="9" t="s">
        <v>262</v>
      </c>
      <c r="K22" s="10" t="s">
        <v>104</v>
      </c>
      <c r="L22" s="9" t="s">
        <v>369</v>
      </c>
      <c r="M22" s="10" t="s">
        <v>287</v>
      </c>
      <c r="N22">
        <v>2.0714739999999998</v>
      </c>
      <c r="O22" s="4">
        <v>44530</v>
      </c>
      <c r="P22">
        <v>2020</v>
      </c>
      <c r="Q22">
        <v>1.55E-2</v>
      </c>
      <c r="R22">
        <v>0.19436</v>
      </c>
      <c r="S22">
        <v>0.32878000000000002</v>
      </c>
      <c r="T22">
        <v>24669900</v>
      </c>
    </row>
    <row r="23" spans="1:20" x14ac:dyDescent="0.25">
      <c r="A23" s="7" t="str" cm="1">
        <f t="array" ref="A23">SQLupdate("Variables", 1, "NULL", Companies[[#This Row],[Ticker]], Companies[[#This Row],[CompanyId]],Companies[[#This Row],[CountryId]], Companies[[#This Row],[IndustryId]], Companies[[#This Row],[SectorId]])</f>
        <v>UPDATE Variables SET VARCHAR(32) = "9138d4c2dc624b35a9e0defb85ac7789", VARCHAR(32) = "c981e5cfd9ad41f68891f020f5b1d9ca", VARCHAR(32) = "b2e0b66e178045bbb7d78e0ff9d1ab7e", VARCHAR(32) = "b580b9b58ea14d159fcbf78ea9d5a4bc" WHERE (VARCHAR(16) = "JD.L");</v>
      </c>
      <c r="B23" s="7" t="str" cm="1">
        <f t="array" ref="B23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"9138d4c2dc624b35a9e0defb85ac7789","JD.L","JD SPORTS FASHION PLC ORD 0.05P","GBp","GBP","c981e5cfd9ad41f68891f020f5b1d9ca","b2e0b66e178045bbb7d78e0ff9d1ab7e","b580b9b58ea14d159fcbf78ea9d5a4bc",1.517036,"31/01/2021",2020,0.0015,0.52131003,0.26132,5158139904);</v>
      </c>
      <c r="C23" s="9" t="s">
        <v>338</v>
      </c>
      <c r="D23" t="s">
        <v>102</v>
      </c>
      <c r="E23" t="s">
        <v>101</v>
      </c>
      <c r="F23" t="s">
        <v>60</v>
      </c>
      <c r="G23" t="s">
        <v>59</v>
      </c>
      <c r="H23" s="9" t="s">
        <v>382</v>
      </c>
      <c r="I23" s="10" t="s">
        <v>10</v>
      </c>
      <c r="J23" s="9" t="s">
        <v>263</v>
      </c>
      <c r="K23" s="10" t="s">
        <v>100</v>
      </c>
      <c r="L23" s="9" t="s">
        <v>369</v>
      </c>
      <c r="M23" s="10" t="s">
        <v>287</v>
      </c>
      <c r="N23">
        <v>1.5170360000000001</v>
      </c>
      <c r="O23" s="4">
        <v>44227</v>
      </c>
      <c r="P23">
        <v>2020</v>
      </c>
      <c r="Q23">
        <v>1.5E-3</v>
      </c>
      <c r="R23">
        <v>0.52131002999999998</v>
      </c>
      <c r="S23">
        <v>0.26132</v>
      </c>
      <c r="T23">
        <v>5158139904</v>
      </c>
    </row>
    <row r="24" spans="1:20" x14ac:dyDescent="0.25">
      <c r="A24" s="7" t="str" cm="1">
        <f t="array" ref="A24">SQLupdate("Variables", 1, "NULL", Companies[[#This Row],[Ticker]], Companies[[#This Row],[CompanyId]],Companies[[#This Row],[CountryId]], Companies[[#This Row],[IndustryId]], Companies[[#This Row],[SectorId]])</f>
        <v>UPDATE Variables SET VARCHAR(32) = "ef8f2244ebbf47a19e0b81fa78a968b9", VARCHAR(32) = "7c0b2940e6a3417e9b871a3626d77b94", VARCHAR(32) = "c2ec7406915b4114bee2a26d07b1bda1", VARCHAR(32) = "e54d4e98453c4ba2824fa1e65ad3be3a" WHERE (VARCHAR(16) = "AWRD.ST");</v>
      </c>
      <c r="B24" s="7" t="str" cm="1">
        <f t="array" ref="B24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"ef8f2244ebbf47a19e0b81fa78a968b9","AWRD.ST","Awardit AB","SEK","SEK","7c0b2940e6a3417e9b871a3626d77b94","c2ec7406915b4114bee2a26d07b1bda1","e54d4e98453c4ba2824fa1e65ad3be3a",1.204054,"31/12/2020",2019,0.0072000003,0.55974,0.04606,8335520);</v>
      </c>
      <c r="C24" s="9" t="s">
        <v>339</v>
      </c>
      <c r="D24" t="s">
        <v>98</v>
      </c>
      <c r="E24" t="s">
        <v>97</v>
      </c>
      <c r="F24" t="s">
        <v>48</v>
      </c>
      <c r="G24" t="s">
        <v>48</v>
      </c>
      <c r="H24" s="9" t="s">
        <v>386</v>
      </c>
      <c r="I24" s="10" t="s">
        <v>49</v>
      </c>
      <c r="J24" s="9" t="s">
        <v>264</v>
      </c>
      <c r="K24" s="10" t="s">
        <v>96</v>
      </c>
      <c r="L24" s="9" t="s">
        <v>370</v>
      </c>
      <c r="M24" s="10" t="s">
        <v>288</v>
      </c>
      <c r="N24">
        <v>1.204054</v>
      </c>
      <c r="O24" s="4">
        <v>44196</v>
      </c>
      <c r="P24">
        <v>2019</v>
      </c>
      <c r="Q24">
        <v>7.2000003000000003E-3</v>
      </c>
      <c r="R24">
        <v>0.55974000000000002</v>
      </c>
      <c r="S24">
        <v>4.6059999999999997E-2</v>
      </c>
      <c r="T24">
        <v>8335520</v>
      </c>
    </row>
    <row r="25" spans="1:20" x14ac:dyDescent="0.25">
      <c r="A25" s="7" t="str" cm="1">
        <f t="array" ref="A25">SQLupdate("Variables", 1, "NULL", Companies[[#This Row],[Ticker]], Companies[[#This Row],[CompanyId]],Companies[[#This Row],[CountryId]], Companies[[#This Row],[IndustryId]], Companies[[#This Row],[SectorId]])</f>
        <v>UPDATE Variables SET VARCHAR(32) = "65312d400e2c4e238d330ef147e6ab13", VARCHAR(32) = "de036935764b4ce5ab50fa376a8e901d", VARCHAR(32) = "ceb5756f9b3e4f4b8683e9593444c376", VARCHAR(32) = "da0227ccdfd2471b94078b745f53e9aa" WHERE (VARCHAR(16) = "NWL.MI");</v>
      </c>
      <c r="B25" s="7" t="str" cm="1">
        <f t="array" ref="B25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"65312d400e2c4e238d330ef147e6ab13","NWL.MI","NEWLAT FOOD","EUR","EUR","de036935764b4ce5ab50fa376a8e901d","ceb5756f9b3e4f4b8683e9593444c376","da0227ccdfd2471b94078b745f53e9aa",0.413756,"31/12/2020",2019,0,0.61658,0.16518,41299500);</v>
      </c>
      <c r="C25" s="9" t="s">
        <v>340</v>
      </c>
      <c r="D25" t="s">
        <v>95</v>
      </c>
      <c r="E25" t="s">
        <v>94</v>
      </c>
      <c r="F25" t="s">
        <v>3</v>
      </c>
      <c r="G25" t="s">
        <v>3</v>
      </c>
      <c r="H25" s="9" t="s">
        <v>387</v>
      </c>
      <c r="I25" s="10" t="s">
        <v>8</v>
      </c>
      <c r="J25" s="9" t="s">
        <v>265</v>
      </c>
      <c r="K25" s="10" t="s">
        <v>93</v>
      </c>
      <c r="L25" s="9" t="s">
        <v>371</v>
      </c>
      <c r="M25" s="10" t="s">
        <v>289</v>
      </c>
      <c r="N25">
        <v>0.41375600000000001</v>
      </c>
      <c r="O25" s="4">
        <v>44196</v>
      </c>
      <c r="P25">
        <v>2019</v>
      </c>
      <c r="Q25">
        <v>0</v>
      </c>
      <c r="R25">
        <v>0.61658000000000002</v>
      </c>
      <c r="S25">
        <v>0.16517999999999999</v>
      </c>
      <c r="T25">
        <v>41299500</v>
      </c>
    </row>
    <row r="26" spans="1:20" x14ac:dyDescent="0.25">
      <c r="A26" s="7" t="str" cm="1">
        <f t="array" ref="A26">SQLupdate("Variables", 1, "NULL", Companies[[#This Row],[Ticker]], Companies[[#This Row],[CompanyId]],Companies[[#This Row],[CountryId]], Companies[[#This Row],[IndustryId]], Companies[[#This Row],[SectorId]])</f>
        <v>UPDATE Variables SET VARCHAR(32) = "8de77400321f4b3ab235689d4cc1ea1d", VARCHAR(32) = "d56d9f2812d94be4bfbf907aaa847093", VARCHAR(32) = "4dd1891ae20f461ba64107df57c69fcd", VARCHAR(32) = "9ad2a2ce48a14504a8083636de7677b2" WHERE (VARCHAR(16) = "GEO");</v>
      </c>
      <c r="B26" s="7" t="str" cm="1">
        <f t="array" ref="B26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"8de77400321f4b3ab235689d4cc1ea1d","GEO","Geo Group Inc (The) REIT","USD","USD","d56d9f2812d94be4bfbf907aaa847093","4dd1891ae20f461ba64107df57c69fcd","9ad2a2ce48a14504a8083636de7677b2",0.68996,"31/12/2021",2020,0,0.04188,0.77585,122518000);</v>
      </c>
      <c r="C26" s="9" t="s">
        <v>325</v>
      </c>
      <c r="D26" t="s">
        <v>6</v>
      </c>
      <c r="E26" t="s">
        <v>92</v>
      </c>
      <c r="F26" t="s">
        <v>12</v>
      </c>
      <c r="G26" t="s">
        <v>12</v>
      </c>
      <c r="H26" s="9" t="s">
        <v>380</v>
      </c>
      <c r="I26" s="10" t="s">
        <v>13</v>
      </c>
      <c r="J26" s="9" t="s">
        <v>266</v>
      </c>
      <c r="K26" s="10" t="s">
        <v>91</v>
      </c>
      <c r="L26" s="9" t="s">
        <v>375</v>
      </c>
      <c r="M26" s="10" t="s">
        <v>295</v>
      </c>
      <c r="N26">
        <v>0.68996000000000002</v>
      </c>
      <c r="O26" s="4">
        <v>44561</v>
      </c>
      <c r="P26">
        <v>2020</v>
      </c>
      <c r="Q26">
        <v>0</v>
      </c>
      <c r="R26">
        <v>4.1880000000000001E-2</v>
      </c>
      <c r="S26">
        <v>0.77585000000000004</v>
      </c>
      <c r="T26">
        <v>122518000</v>
      </c>
    </row>
    <row r="27" spans="1:20" x14ac:dyDescent="0.25">
      <c r="A27" s="7" t="str" cm="1">
        <f t="array" ref="A27">SQLupdate("Variables", 1, "NULL", Companies[[#This Row],[Ticker]], Companies[[#This Row],[CompanyId]],Companies[[#This Row],[CountryId]], Companies[[#This Row],[IndustryId]], Companies[[#This Row],[SectorId]])</f>
        <v>UPDATE Variables SET VARCHAR(32) = "dae01fbfa6aa4da48052f7c1e3421ace", VARCHAR(32) = "8bf5b74ef4a74d118cfc8894e88fe5c9", VARCHAR(32) = "ec1e1439c1ea489caa0efe6d148ab00a", VARCHAR(32) = "2fd75f24aa5149e7b17a86a49123ac88" WHERE (VARCHAR(16) = "DND.TO");</v>
      </c>
      <c r="B27" s="7" t="str" cm="1">
        <f t="array" ref="B27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"dae01fbfa6aa4da48052f7c1e3421ace","DND.TO","DYE AND DURHAM LIMITED","CAD","CAD","8bf5b74ef4a74d118cfc8894e88fe5c9","ec1e1439c1ea489caa0efe6d148ab00a","2fd75f24aa5149e7b17a86a49123ac88",1,"30/06/2021",2020,0.0028,0.18621999,0.71689004,69140000);</v>
      </c>
      <c r="C27" s="9" t="s">
        <v>329</v>
      </c>
      <c r="D27" t="s">
        <v>38</v>
      </c>
      <c r="E27" t="s">
        <v>37</v>
      </c>
      <c r="F27" t="s">
        <v>1</v>
      </c>
      <c r="G27" t="s">
        <v>1</v>
      </c>
      <c r="H27" s="9" t="s">
        <v>385</v>
      </c>
      <c r="I27" s="10" t="s">
        <v>35</v>
      </c>
      <c r="J27" s="9" t="s">
        <v>254</v>
      </c>
      <c r="K27" s="10" t="s">
        <v>36</v>
      </c>
      <c r="L27" s="9" t="s">
        <v>368</v>
      </c>
      <c r="M27" s="10" t="s">
        <v>284</v>
      </c>
      <c r="N27">
        <v>1</v>
      </c>
      <c r="O27" s="4">
        <v>44377</v>
      </c>
      <c r="P27">
        <v>2020</v>
      </c>
      <c r="Q27">
        <v>2.8E-3</v>
      </c>
      <c r="R27">
        <v>0.18621999</v>
      </c>
      <c r="S27">
        <v>0.71689004000000001</v>
      </c>
      <c r="T27">
        <v>69140000</v>
      </c>
    </row>
    <row r="28" spans="1:20" x14ac:dyDescent="0.25">
      <c r="A28" s="7" t="str" cm="1">
        <f t="array" ref="A28">SQLupdate("Variables", 1, "NULL", Companies[[#This Row],[Ticker]], Companies[[#This Row],[CompanyId]],Companies[[#This Row],[CountryId]], Companies[[#This Row],[IndustryId]], Companies[[#This Row],[SectorId]])</f>
        <v>UPDATE Variables SET VARCHAR(32) = "63c50a9fbaad4e369da1f59e3f0b3987", VARCHAR(32) = "ef4eb3ba9070411b9fdb0e2d7bb7ecda", VARCHAR(32) = "8921f3f2b17e42b3ad321d7e00abdcd0", VARCHAR(32) = "da0227ccdfd2471b94078b745f53e9aa" WHERE (VARCHAR(16) = "BB.PA");</v>
      </c>
      <c r="B28" s="7" t="str" cm="1">
        <f t="array" ref="B28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"63c50a9fbaad4e369da1f59e3f0b3987","BB.PA","BIC","EUR","EUR","ef4eb3ba9070411b9fdb0e2d7bb7ecda","8921f3f2b17e42b3ad321d7e00abdcd0","da0227ccdfd2471b94078b745f53e9aa",0.676041,"31/12/2020",2019,0.0356,0.46300998,0.15515,44580800);</v>
      </c>
      <c r="C28" s="9" t="s">
        <v>326</v>
      </c>
      <c r="D28" t="s">
        <v>90</v>
      </c>
      <c r="E28" t="s">
        <v>89</v>
      </c>
      <c r="F28" t="s">
        <v>3</v>
      </c>
      <c r="G28" t="s">
        <v>3</v>
      </c>
      <c r="H28" s="9" t="s">
        <v>384</v>
      </c>
      <c r="I28" s="10" t="s">
        <v>9</v>
      </c>
      <c r="J28" s="9" t="s">
        <v>256</v>
      </c>
      <c r="K28" s="10" t="s">
        <v>39</v>
      </c>
      <c r="L28" s="9" t="s">
        <v>371</v>
      </c>
      <c r="M28" s="10" t="s">
        <v>289</v>
      </c>
      <c r="N28">
        <v>0.676041</v>
      </c>
      <c r="O28" s="4">
        <v>44196</v>
      </c>
      <c r="P28">
        <v>2019</v>
      </c>
      <c r="Q28">
        <v>3.56E-2</v>
      </c>
      <c r="R28">
        <v>0.46300997999999999</v>
      </c>
      <c r="S28">
        <v>0.15515000000000001</v>
      </c>
      <c r="T28">
        <v>44580800</v>
      </c>
    </row>
    <row r="29" spans="1:20" x14ac:dyDescent="0.25">
      <c r="A29" s="7" t="str" cm="1">
        <f t="array" ref="A29">SQLupdate("Variables", 1, "NULL", Companies[[#This Row],[Ticker]], Companies[[#This Row],[CompanyId]],Companies[[#This Row],[CountryId]], Companies[[#This Row],[IndustryId]], Companies[[#This Row],[SectorId]])</f>
        <v>UPDATE Variables SET VARCHAR(32) = "bf0d571c423e42638ae8033706dd413a", VARCHAR(32) = "d56d9f2812d94be4bfbf907aaa847093", VARCHAR(32) = "78846dd001d54eb7936d1227c5296be8", VARCHAR(32) = "e54d4e98453c4ba2824fa1e65ad3be3a" WHERE (VARCHAR(16) = "FB");</v>
      </c>
      <c r="B29" s="7" t="str" cm="1">
        <f t="array" ref="B29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"bf0d571c423e42638ae8033706dd413a","FB","Meta Platforms, Inc.","USD","USD","d56d9f2812d94be4bfbf907aaa847093","78846dd001d54eb7936d1227c5296be8","e54d4e98453c4ba2824fa1e65ad3be3a",1.28543,"31/12/2021",2020,0,0.00529,0.79033,2309080064);</v>
      </c>
      <c r="C29" s="9" t="s">
        <v>341</v>
      </c>
      <c r="D29" t="s">
        <v>88</v>
      </c>
      <c r="E29" t="s">
        <v>87</v>
      </c>
      <c r="F29" t="s">
        <v>12</v>
      </c>
      <c r="G29" t="s">
        <v>12</v>
      </c>
      <c r="H29" s="9" t="s">
        <v>380</v>
      </c>
      <c r="I29" s="10" t="s">
        <v>13</v>
      </c>
      <c r="J29" s="9" t="s">
        <v>259</v>
      </c>
      <c r="K29" s="10" t="s">
        <v>42</v>
      </c>
      <c r="L29" s="9" t="s">
        <v>370</v>
      </c>
      <c r="M29" s="10" t="s">
        <v>288</v>
      </c>
      <c r="N29">
        <v>1.2854300000000001</v>
      </c>
      <c r="O29" s="4">
        <v>44561</v>
      </c>
      <c r="P29">
        <v>2020</v>
      </c>
      <c r="Q29">
        <v>0</v>
      </c>
      <c r="R29">
        <v>5.2900000000000004E-3</v>
      </c>
      <c r="S29">
        <v>0.79032999999999998</v>
      </c>
      <c r="T29">
        <v>2309080064</v>
      </c>
    </row>
    <row r="30" spans="1:20" x14ac:dyDescent="0.25">
      <c r="A30" s="7" t="str" cm="1">
        <f t="array" ref="A30">SQLupdate("Variables", 1, "NULL", Companies[[#This Row],[Ticker]], Companies[[#This Row],[CompanyId]],Companies[[#This Row],[CountryId]], Companies[[#This Row],[IndustryId]], Companies[[#This Row],[SectorId]])</f>
        <v>UPDATE Variables SET VARCHAR(32) = "bc23f6487b114876a47f2af39171d75a", VARCHAR(32) = "5a336a110cc14a118c349e651c5e65a6", VARCHAR(32) = "f9db59f702284cbea3e02fe6f98b93e5", VARCHAR(32) = "2fd75f24aa5149e7b17a86a49123ac88" WHERE (VARCHAR(16) = "ICP1V.HE");</v>
      </c>
      <c r="B30" s="7" t="str" cm="1">
        <f t="array" ref="B30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"bc23f6487b114876a47f2af39171d75a","ICP1V.HE","Incap Corporation","EUR","EUR","5a336a110cc14a118c349e651c5e65a6","f9db59f702284cbea3e02fe6f98b93e5","2fd75f24aa5149e7b17a86a49123ac88",1.855382,"31/12/2020",2019,0,0.46078,0.22506,5849330);</v>
      </c>
      <c r="C30" s="9" t="s">
        <v>342</v>
      </c>
      <c r="D30" t="s">
        <v>86</v>
      </c>
      <c r="E30" t="s">
        <v>85</v>
      </c>
      <c r="F30" t="s">
        <v>3</v>
      </c>
      <c r="G30" t="s">
        <v>3</v>
      </c>
      <c r="H30" s="9" t="s">
        <v>388</v>
      </c>
      <c r="I30" s="10" t="s">
        <v>83</v>
      </c>
      <c r="J30" s="9" t="s">
        <v>267</v>
      </c>
      <c r="K30" s="10" t="s">
        <v>84</v>
      </c>
      <c r="L30" s="9" t="s">
        <v>368</v>
      </c>
      <c r="M30" s="10" t="s">
        <v>284</v>
      </c>
      <c r="N30">
        <v>1.8553820000000001</v>
      </c>
      <c r="O30" s="4">
        <v>44196</v>
      </c>
      <c r="P30">
        <v>2019</v>
      </c>
      <c r="Q30">
        <v>0</v>
      </c>
      <c r="R30">
        <v>0.46078000000000002</v>
      </c>
      <c r="S30">
        <v>0.22506000000000001</v>
      </c>
      <c r="T30">
        <v>5849330</v>
      </c>
    </row>
    <row r="31" spans="1:20" x14ac:dyDescent="0.25">
      <c r="A31" s="7" t="str" cm="1">
        <f t="array" ref="A31">SQLupdate("Variables", 1, "NULL", Companies[[#This Row],[Ticker]], Companies[[#This Row],[CompanyId]],Companies[[#This Row],[CountryId]], Companies[[#This Row],[IndustryId]], Companies[[#This Row],[SectorId]])</f>
        <v>UPDATE Variables SET VARCHAR(32) = "d6158b0024404f8a9e94999fa667f572", VARCHAR(32) = "8bf5b74ef4a74d118cfc8894e88fe5c9", VARCHAR(32) = "ec1e1439c1ea489caa0efe6d148ab00a", VARCHAR(32) = "2fd75f24aa5149e7b17a86a49123ac88" WHERE (VARCHAR(16) = "TIXT");</v>
      </c>
      <c r="B31" s="7" t="str" cm="1">
        <f t="array" ref="B31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"d6158b0024404f8a9e94999fa667f572","TIXT","TELUS International (Cda) Inc. ","USD","USD","8bf5b74ef4a74d118cfc8894e88fe5c9","ec1e1439c1ea489caa0efe6d148ab00a","2fd75f24aa5149e7b17a86a49123ac88",1,"31/12/2020",2019,0,0.10094,0.97533,66000000);</v>
      </c>
      <c r="C31" s="9" t="s">
        <v>343</v>
      </c>
      <c r="D31" t="s">
        <v>82</v>
      </c>
      <c r="E31" t="s">
        <v>81</v>
      </c>
      <c r="F31" t="s">
        <v>12</v>
      </c>
      <c r="G31" t="s">
        <v>12</v>
      </c>
      <c r="H31" s="9" t="s">
        <v>385</v>
      </c>
      <c r="I31" s="10" t="s">
        <v>35</v>
      </c>
      <c r="J31" s="9" t="s">
        <v>254</v>
      </c>
      <c r="K31" s="10" t="s">
        <v>36</v>
      </c>
      <c r="L31" s="9" t="s">
        <v>368</v>
      </c>
      <c r="M31" s="10" t="s">
        <v>284</v>
      </c>
      <c r="N31">
        <v>1</v>
      </c>
      <c r="O31" s="4">
        <v>44196</v>
      </c>
      <c r="P31">
        <v>2019</v>
      </c>
      <c r="Q31">
        <v>0</v>
      </c>
      <c r="R31">
        <v>0.10094</v>
      </c>
      <c r="S31">
        <v>0.97533000000000003</v>
      </c>
      <c r="T31">
        <v>66000000</v>
      </c>
    </row>
    <row r="32" spans="1:20" x14ac:dyDescent="0.25">
      <c r="A32" s="7" t="str" cm="1">
        <f t="array" ref="A32">SQLupdate("Variables", 1, "NULL", Companies[[#This Row],[Ticker]], Companies[[#This Row],[CompanyId]],Companies[[#This Row],[CountryId]], Companies[[#This Row],[IndustryId]], Companies[[#This Row],[SectorId]])</f>
        <v>UPDATE Variables SET VARCHAR(32) = "1de3228eab6b463b9d188f9d658da5ef", VARCHAR(32) = "de036935764b4ce5ab50fa376a8e901d", VARCHAR(32) = "ec1e1439c1ea489caa0efe6d148ab00a", VARCHAR(32) = "2fd75f24aa5149e7b17a86a49123ac88" WHERE (VARCHAR(16) = "CY4.MI");</v>
      </c>
      <c r="B32" s="7" t="str" cm="1">
        <f t="array" ref="B32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"1de3228eab6b463b9d188f9d658da5ef","CY4.MI","CY4GATE","EUR","EUR","de036935764b4ce5ab50fa376a8e901d","ec1e1439c1ea489caa0efe6d148ab00a","2fd75f24aa5149e7b17a86a49123ac88",1,"31/12/2020",2019,0,0.5529,0.20201999,15000000);</v>
      </c>
      <c r="C32" s="9" t="s">
        <v>344</v>
      </c>
      <c r="D32" t="s">
        <v>80</v>
      </c>
      <c r="E32" t="s">
        <v>79</v>
      </c>
      <c r="F32" t="s">
        <v>3</v>
      </c>
      <c r="G32" t="s">
        <v>3</v>
      </c>
      <c r="H32" s="9" t="s">
        <v>387</v>
      </c>
      <c r="I32" s="10" t="s">
        <v>8</v>
      </c>
      <c r="J32" s="9" t="s">
        <v>254</v>
      </c>
      <c r="K32" s="10" t="s">
        <v>36</v>
      </c>
      <c r="L32" s="9" t="s">
        <v>368</v>
      </c>
      <c r="M32" s="10" t="s">
        <v>284</v>
      </c>
      <c r="N32">
        <v>1</v>
      </c>
      <c r="O32" s="4">
        <v>44196</v>
      </c>
      <c r="P32">
        <v>2019</v>
      </c>
      <c r="Q32">
        <v>0</v>
      </c>
      <c r="R32">
        <v>0.55289999999999995</v>
      </c>
      <c r="S32">
        <v>0.20201999000000001</v>
      </c>
      <c r="T32">
        <v>15000000</v>
      </c>
    </row>
    <row r="33" spans="1:20" x14ac:dyDescent="0.25">
      <c r="A33" s="7" t="str" cm="1">
        <f t="array" ref="A33">SQLupdate("Variables", 1, "NULL", Companies[[#This Row],[Ticker]], Companies[[#This Row],[CompanyId]],Companies[[#This Row],[CountryId]], Companies[[#This Row],[IndustryId]], Companies[[#This Row],[SectorId]])</f>
        <v>UPDATE Variables SET VARCHAR(32) = "6563ce6a01e344c4b9448a05388f7562", VARCHAR(32) = "7c0b2940e6a3417e9b871a3626d77b94", VARCHAR(32) = "8cca718729964685b37ca086e14248db", VARCHAR(32) = "a436973cb1f74733849efe879a001a52" WHERE (VARCHAR(16) = "VOLO.ST");</v>
      </c>
      <c r="B33" s="7" t="str" cm="1">
        <f t="array" ref="B33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"6563ce6a01e344c4b9448a05388f7562","VOLO.ST","Volati AB","SEK","SEK","7c0b2940e6a3417e9b871a3626d77b94","8cca718729964685b37ca086e14248db","a436973cb1f74733849efe879a001a52",1.500803,"31/12/2020",2019,0.0061000003,0.78423,0.19218999,79406600);</v>
      </c>
      <c r="C33" s="9" t="s">
        <v>345</v>
      </c>
      <c r="D33" t="s">
        <v>78</v>
      </c>
      <c r="E33" t="s">
        <v>77</v>
      </c>
      <c r="F33" t="s">
        <v>48</v>
      </c>
      <c r="G33" t="s">
        <v>48</v>
      </c>
      <c r="H33" s="9" t="s">
        <v>386</v>
      </c>
      <c r="I33" s="10" t="s">
        <v>49</v>
      </c>
      <c r="J33" s="9" t="s">
        <v>268</v>
      </c>
      <c r="K33" s="10" t="s">
        <v>76</v>
      </c>
      <c r="L33" s="9" t="s">
        <v>374</v>
      </c>
      <c r="M33" s="10" t="s">
        <v>294</v>
      </c>
      <c r="N33">
        <v>1.5008030000000001</v>
      </c>
      <c r="O33" s="4">
        <v>44196</v>
      </c>
      <c r="P33">
        <v>2019</v>
      </c>
      <c r="Q33">
        <v>6.1000003000000001E-3</v>
      </c>
      <c r="R33">
        <v>0.78422999999999998</v>
      </c>
      <c r="S33">
        <v>0.19218999</v>
      </c>
      <c r="T33">
        <v>79406600</v>
      </c>
    </row>
    <row r="34" spans="1:20" x14ac:dyDescent="0.25">
      <c r="A34" s="7" t="str" cm="1">
        <f t="array" ref="A34">SQLupdate("Variables", 1, "NULL", Companies[[#This Row],[Ticker]], Companies[[#This Row],[CompanyId]],Companies[[#This Row],[CountryId]], Companies[[#This Row],[IndustryId]], Companies[[#This Row],[SectorId]])</f>
        <v>UPDATE Variables SET VARCHAR(32) = "4182c87932a54d4f925af780f5f85813", VARCHAR(32) = "967a0b1e06514a46abc59378a7bdf7f7", VARCHAR(32) = "4678c50d40cc4b4580823c105925092e", VARCHAR(32) = "2fd75f24aa5149e7b17a86a49123ac88" WHERE (VARCHAR(16) = "D6H.DE");</v>
      </c>
      <c r="B34" s="7" t="str" cm="1">
        <f t="array" ref="B34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"4182c87932a54d4f925af780f5f85813","D6H.DE","DATAGROUP SE  INH. O.N.","EUR","EUR","967a0b1e06514a46abc59378a7bdf7f7","4678c50d40cc4b4580823c105925092e","2fd75f24aa5149e7b17a86a49123ac88",1.055704,"30/09/2020",2019,0.0119,0.582,0.131,8331000);</v>
      </c>
      <c r="C34" s="9" t="s">
        <v>346</v>
      </c>
      <c r="D34" t="s">
        <v>75</v>
      </c>
      <c r="E34" t="s">
        <v>74</v>
      </c>
      <c r="F34" t="s">
        <v>3</v>
      </c>
      <c r="G34" t="s">
        <v>3</v>
      </c>
      <c r="H34" s="9" t="s">
        <v>389</v>
      </c>
      <c r="I34" s="10" t="s">
        <v>7</v>
      </c>
      <c r="J34" s="9" t="s">
        <v>249</v>
      </c>
      <c r="K34" s="10" t="s">
        <v>73</v>
      </c>
      <c r="L34" s="9" t="s">
        <v>368</v>
      </c>
      <c r="M34" s="10" t="s">
        <v>284</v>
      </c>
      <c r="N34">
        <v>1.055704</v>
      </c>
      <c r="O34" s="4">
        <v>44104</v>
      </c>
      <c r="P34">
        <v>2019</v>
      </c>
      <c r="Q34">
        <v>1.1900000000000001E-2</v>
      </c>
      <c r="R34">
        <v>0.58199999999999996</v>
      </c>
      <c r="S34">
        <v>0.13100000000000001</v>
      </c>
      <c r="T34">
        <v>8331000</v>
      </c>
    </row>
    <row r="35" spans="1:20" x14ac:dyDescent="0.25">
      <c r="A35" s="7" t="str" cm="1">
        <f t="array" ref="A35">SQLupdate("Variables", 1, "NULL", Companies[[#This Row],[Ticker]], Companies[[#This Row],[CompanyId]],Companies[[#This Row],[CountryId]], Companies[[#This Row],[IndustryId]], Companies[[#This Row],[SectorId]])</f>
        <v>UPDATE Variables SET VARCHAR(32) = "2c55a1111e7041ceb8fb0534c2f5067e", VARCHAR(32) = "c981e5cfd9ad41f68891f020f5b1d9ca", VARCHAR(32) = "88efc28a1a0f41ab8d76891ba90fb7ad", VARCHAR(32) = "a436973cb1f74733849efe879a001a52" WHERE (VARCHAR(16) = "MRL.L");</v>
      </c>
      <c r="B35" s="7" t="str" cm="1">
        <f t="array" ref="B35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"2c55a1111e7041ceb8fb0534c2f5067e","MRL.L","MARLOWE PLC ORD 50P","GBp","GBP","c981e5cfd9ad41f68891f020f5b1d9ca","88efc28a1a0f41ab8d76891ba90fb7ad","a436973cb1f74733849efe879a001a52",1.083556,"31/03/2021",2020,0,0.22850999,0.49255002,95833904);</v>
      </c>
      <c r="C35" s="9" t="s">
        <v>347</v>
      </c>
      <c r="D35" t="s">
        <v>71</v>
      </c>
      <c r="E35" t="s">
        <v>70</v>
      </c>
      <c r="F35" t="s">
        <v>60</v>
      </c>
      <c r="G35" t="s">
        <v>59</v>
      </c>
      <c r="H35" s="9" t="s">
        <v>382</v>
      </c>
      <c r="I35" s="10" t="s">
        <v>10</v>
      </c>
      <c r="J35" s="9" t="s">
        <v>269</v>
      </c>
      <c r="K35" s="10" t="s">
        <v>69</v>
      </c>
      <c r="L35" s="9" t="s">
        <v>374</v>
      </c>
      <c r="M35" s="10" t="s">
        <v>294</v>
      </c>
      <c r="N35">
        <v>1.083556</v>
      </c>
      <c r="O35" s="4">
        <v>44286</v>
      </c>
      <c r="P35">
        <v>2020</v>
      </c>
      <c r="Q35">
        <v>0</v>
      </c>
      <c r="R35">
        <v>0.22850999</v>
      </c>
      <c r="S35">
        <v>0.49255001999999998</v>
      </c>
      <c r="T35">
        <v>95833904</v>
      </c>
    </row>
    <row r="36" spans="1:20" x14ac:dyDescent="0.25">
      <c r="A36" s="7" t="str" cm="1">
        <f t="array" ref="A36">SQLupdate("Variables", 1, "NULL", Companies[[#This Row],[Ticker]], Companies[[#This Row],[CompanyId]],Companies[[#This Row],[CountryId]], Companies[[#This Row],[IndustryId]], Companies[[#This Row],[SectorId]])</f>
        <v>UPDATE Variables SET VARCHAR(32) = "d9c5069a6cff4d2cb297d3e53f61d986", VARCHAR(32) = "8bf5b74ef4a74d118cfc8894e88fe5c9", VARCHAR(32) = "615be309c15d44b9abe7e5d740032d6d", VARCHAR(32) = "a436973cb1f74733849efe879a001a52" WHERE (VARCHAR(16) = "SIS.TO");</v>
      </c>
      <c r="B36" s="7" t="str" cm="1">
        <f t="array" ref="B36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"d9c5069a6cff4d2cb297d3e53f61d986","SIS.TO","SAVARIA CORP.","CAD","CAD","8bf5b74ef4a74d118cfc8894e88fe5c9","615be309c15d44b9abe7e5d740032d6d","a436973cb1f74733849efe879a001a52",0.669432,"31/12/2020",2019,0.0278,0.24454,0.24611999,64210200);</v>
      </c>
      <c r="C36" s="9" t="s">
        <v>348</v>
      </c>
      <c r="D36" t="s">
        <v>68</v>
      </c>
      <c r="E36" t="s">
        <v>67</v>
      </c>
      <c r="F36" t="s">
        <v>1</v>
      </c>
      <c r="G36" t="s">
        <v>1</v>
      </c>
      <c r="H36" s="9" t="s">
        <v>385</v>
      </c>
      <c r="I36" s="10" t="s">
        <v>35</v>
      </c>
      <c r="J36" s="9" t="s">
        <v>258</v>
      </c>
      <c r="K36" s="10" t="s">
        <v>45</v>
      </c>
      <c r="L36" s="9" t="s">
        <v>374</v>
      </c>
      <c r="M36" s="10" t="s">
        <v>294</v>
      </c>
      <c r="N36">
        <v>0.66943200000000003</v>
      </c>
      <c r="O36" s="4">
        <v>44196</v>
      </c>
      <c r="P36">
        <v>2019</v>
      </c>
      <c r="Q36">
        <v>2.7799999999999998E-2</v>
      </c>
      <c r="R36">
        <v>0.24454000000000001</v>
      </c>
      <c r="S36">
        <v>0.24611999000000001</v>
      </c>
      <c r="T36">
        <v>64210200</v>
      </c>
    </row>
    <row r="37" spans="1:20" x14ac:dyDescent="0.25">
      <c r="A37" s="7" t="str" cm="1">
        <f t="array" ref="A37">SQLupdate("Variables", 1, "NULL", Companies[[#This Row],[Ticker]], Companies[[#This Row],[CompanyId]],Companies[[#This Row],[CountryId]], Companies[[#This Row],[IndustryId]], Companies[[#This Row],[SectorId]])</f>
        <v>UPDATE Variables SET VARCHAR(32) = "4460ecd85ab74e2381fd4e2ec0aef0e1", VARCHAR(32) = "c981e5cfd9ad41f68891f020f5b1d9ca", VARCHAR(32) = "6b9dfedf359b41eabfc5540cf840a1a6", VARCHAR(32) = "b580b9b58ea14d159fcbf78ea9d5a4bc" WHERE (VARCHAR(16) = "VCP.L");</v>
      </c>
      <c r="B37" s="7" t="str" cm="1">
        <f t="array" ref="B37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"4460ecd85ab74e2381fd4e2ec0aef0e1","VCP.L","VICTORIA PLC ORD 5P","GBp","GBP","c981e5cfd9ad41f68891f020f5b1d9ca","6b9dfedf359b41eabfc5540cf840a1a6","b580b9b58ea14d159fcbf78ea9d5a4bc",1.6797,"31/03/2021",2020,0,0.32931998,0.48031,116852000);</v>
      </c>
      <c r="C37" s="9" t="s">
        <v>349</v>
      </c>
      <c r="D37" t="s">
        <v>66</v>
      </c>
      <c r="E37" t="s">
        <v>65</v>
      </c>
      <c r="F37" t="s">
        <v>60</v>
      </c>
      <c r="G37" t="s">
        <v>59</v>
      </c>
      <c r="H37" s="9" t="s">
        <v>382</v>
      </c>
      <c r="I37" s="10" t="s">
        <v>10</v>
      </c>
      <c r="J37" s="9" t="s">
        <v>270</v>
      </c>
      <c r="K37" s="10" t="s">
        <v>64</v>
      </c>
      <c r="L37" s="9" t="s">
        <v>369</v>
      </c>
      <c r="M37" s="10" t="s">
        <v>287</v>
      </c>
      <c r="N37">
        <v>1.6797</v>
      </c>
      <c r="O37" s="4">
        <v>44286</v>
      </c>
      <c r="P37">
        <v>2020</v>
      </c>
      <c r="Q37">
        <v>0</v>
      </c>
      <c r="R37">
        <v>0.32931998000000001</v>
      </c>
      <c r="S37">
        <v>0.48031000000000001</v>
      </c>
      <c r="T37">
        <v>116852000</v>
      </c>
    </row>
    <row r="38" spans="1:20" x14ac:dyDescent="0.25">
      <c r="A38" s="7" t="str" cm="1">
        <f t="array" ref="A38">SQLupdate("Variables", 1, "NULL", Companies[[#This Row],[Ticker]], Companies[[#This Row],[CompanyId]],Companies[[#This Row],[CountryId]], Companies[[#This Row],[IndustryId]], Companies[[#This Row],[SectorId]])</f>
        <v>UPDATE Variables SET VARCHAR(32) = "5183acf9b17341a9a3a2ad3a3f2d56da", VARCHAR(32) = "c981e5cfd9ad41f68891f020f5b1d9ca", VARCHAR(32) = "80d974e961af4087b784ae98698f8146", VARCHAR(32) = "9ad2a2ce48a14504a8083636de7677b2" WHERE (VARCHAR(16) = "BLV.L");</v>
      </c>
      <c r="B38" s="7" t="str" cm="1">
        <f t="array" ref="B38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"5183acf9b17341a9a3a2ad3a3f2d56da","BLV.L","BELVOIR GROUP PLC ORD 1P","GBp","GBP","c981e5cfd9ad41f68891f020f5b1d9ca","80d974e961af4087b784ae98698f8146","9ad2a2ce48a14504a8083636de7677b2",1.257632,"31/12/2020",2019,0.0343,0.18603,0.62520003,37292100);</v>
      </c>
      <c r="C38" s="9" t="s">
        <v>350</v>
      </c>
      <c r="D38" t="s">
        <v>63</v>
      </c>
      <c r="E38" t="s">
        <v>62</v>
      </c>
      <c r="F38" t="s">
        <v>60</v>
      </c>
      <c r="G38" t="s">
        <v>59</v>
      </c>
      <c r="H38" s="9" t="s">
        <v>382</v>
      </c>
      <c r="I38" s="10" t="s">
        <v>10</v>
      </c>
      <c r="J38" s="9" t="s">
        <v>261</v>
      </c>
      <c r="K38" s="10" t="s">
        <v>61</v>
      </c>
      <c r="L38" s="9" t="s">
        <v>375</v>
      </c>
      <c r="M38" s="10" t="s">
        <v>295</v>
      </c>
      <c r="N38">
        <v>1.2576320000000001</v>
      </c>
      <c r="O38" s="4">
        <v>44196</v>
      </c>
      <c r="P38">
        <v>2019</v>
      </c>
      <c r="Q38">
        <v>3.4299999999999997E-2</v>
      </c>
      <c r="R38">
        <v>0.18603</v>
      </c>
      <c r="S38">
        <v>0.62520003000000002</v>
      </c>
      <c r="T38">
        <v>37292100</v>
      </c>
    </row>
    <row r="39" spans="1:20" x14ac:dyDescent="0.25">
      <c r="A39" s="7" t="str" cm="1">
        <f t="array" ref="A39">SQLupdate("Variables", 1, "NULL", Companies[[#This Row],[Ticker]], Companies[[#This Row],[CompanyId]],Companies[[#This Row],[CountryId]], Companies[[#This Row],[IndustryId]], Companies[[#This Row],[SectorId]])</f>
        <v>UPDATE Variables SET VARCHAR(32) = "ed7503dc7a5a48ca8384e064a0880abf", VARCHAR(32) = "7c0b2940e6a3417e9b871a3626d77b94", VARCHAR(32) = "4de8ff299f3447d4bb981ee7fa28b2a5", VARCHAR(32) = "e54d4e98453c4ba2824fa1e65ad3be3a" WHERE (VARCHAR(16) = "EMBRAC-B.ST");</v>
      </c>
      <c r="B39" s="7" t="str" cm="1">
        <f t="array" ref="B39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"ed7503dc7a5a48ca8384e064a0880abf","EMBRAC-B.ST","Embracer Group AB ser. B","SEK","SEK","7c0b2940e6a3417e9b871a3626d77b94","4de8ff299f3447d4bb981ee7fa28b2a5","e54d4e98453c4ba2824fa1e65ad3be3a",0.136047,"31/03/2021",2020,0,0.36078998,0.31596002,1017489984);</v>
      </c>
      <c r="C39" s="9" t="s">
        <v>361</v>
      </c>
      <c r="D39" t="s">
        <v>297</v>
      </c>
      <c r="E39" t="s">
        <v>298</v>
      </c>
      <c r="F39" t="s">
        <v>48</v>
      </c>
      <c r="G39" t="s">
        <v>48</v>
      </c>
      <c r="H39" s="9" t="s">
        <v>386</v>
      </c>
      <c r="I39" s="10" t="s">
        <v>49</v>
      </c>
      <c r="J39" s="9" t="s">
        <v>255</v>
      </c>
      <c r="K39" s="10" t="s">
        <v>122</v>
      </c>
      <c r="L39" s="9" t="s">
        <v>370</v>
      </c>
      <c r="M39" s="10" t="s">
        <v>288</v>
      </c>
      <c r="N39">
        <v>0.136047</v>
      </c>
      <c r="O39" s="4">
        <v>44286</v>
      </c>
      <c r="P39">
        <v>2020</v>
      </c>
      <c r="Q39">
        <v>0</v>
      </c>
      <c r="R39">
        <v>0.36078998000000001</v>
      </c>
      <c r="S39">
        <v>0.31596002000000001</v>
      </c>
      <c r="T39">
        <v>1017489984</v>
      </c>
    </row>
    <row r="40" spans="1:20" x14ac:dyDescent="0.25">
      <c r="A40" s="7" t="str" cm="1">
        <f t="array" ref="A40">SQLupdate("Variables", 1, "NULL", Companies[[#This Row],[Ticker]], Companies[[#This Row],[CompanyId]],Companies[[#This Row],[CountryId]], Companies[[#This Row],[IndustryId]], Companies[[#This Row],[SectorId]])</f>
        <v>UPDATE Variables SET VARCHAR(32) = "e7ed26c60203403183d54362bffe82cb", VARCHAR(32) = "d56d9f2812d94be4bfbf907aaa847093", VARCHAR(32) = "907c5d9ca53d41bc8a2c6184cfc3e3aa", VARCHAR(32) = "a436973cb1f74733849efe879a001a52" WHERE (VARCHAR(16) = "MHH");</v>
      </c>
      <c r="B40" s="7" t="str" cm="1">
        <f t="array" ref="B40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"e7ed26c60203403183d54362bffe82cb","MHH","Mastech Digital, Inc","USD","USD","d56d9f2812d94be4bfbf907aaa847093","907c5d9ca53d41bc8a2c6184cfc3e3aa","a436973cb1f74733849efe879a001a52",0.533068,"31/12/2020",2019,0,0.79907,0.14385,11438000);</v>
      </c>
      <c r="C40" s="9" t="s">
        <v>351</v>
      </c>
      <c r="D40" t="s">
        <v>58</v>
      </c>
      <c r="E40" t="s">
        <v>57</v>
      </c>
      <c r="F40" t="s">
        <v>12</v>
      </c>
      <c r="G40" t="s">
        <v>12</v>
      </c>
      <c r="H40" s="9" t="s">
        <v>380</v>
      </c>
      <c r="I40" s="10" t="s">
        <v>13</v>
      </c>
      <c r="J40" s="9" t="s">
        <v>271</v>
      </c>
      <c r="K40" s="10" t="s">
        <v>56</v>
      </c>
      <c r="L40" s="9" t="s">
        <v>374</v>
      </c>
      <c r="M40" s="10" t="s">
        <v>294</v>
      </c>
      <c r="N40">
        <v>0.53306799999999999</v>
      </c>
      <c r="O40" s="4">
        <v>44196</v>
      </c>
      <c r="P40">
        <v>2019</v>
      </c>
      <c r="Q40">
        <v>0</v>
      </c>
      <c r="R40">
        <v>0.79906999999999995</v>
      </c>
      <c r="S40">
        <v>0.14385000000000001</v>
      </c>
      <c r="T40">
        <v>11438000</v>
      </c>
    </row>
    <row r="41" spans="1:20" x14ac:dyDescent="0.25">
      <c r="A41" s="7" t="str" cm="1">
        <f t="array" ref="A41">SQLupdate("Variables", 1, "NULL", Companies[[#This Row],[Ticker]], Companies[[#This Row],[CompanyId]],Companies[[#This Row],[CountryId]], Companies[[#This Row],[IndustryId]], Companies[[#This Row],[SectorId]])</f>
        <v>UPDATE Variables SET VARCHAR(32) = "5965c4d000504a028a77b87596ca1be6", VARCHAR(32) = "de036935764b4ce5ab50fa376a8e901d", VARCHAR(32) = "ee8e912a57e041c982c1f5f2a3222ff0", VARCHAR(32) = "a436973cb1f74733849efe879a001a52" WHERE (VARCHAR(16) = "SCK.MI");</v>
      </c>
      <c r="B41" s="7" t="str" cm="1">
        <f t="array" ref="B41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"5965c4d000504a028a77b87596ca1be6","SCK.MI","SCIUKER FRAMES","EUR","EUR","de036935764b4ce5ab50fa376a8e901d","ee8e912a57e041c982c1f5f2a3222ff0","a436973cb1f74733849efe879a001a52",3.55668,"31/12/2020",2019,0.041199997,0,0.06181,21451400);</v>
      </c>
      <c r="C41" s="9" t="s">
        <v>352</v>
      </c>
      <c r="D41" t="s">
        <v>55</v>
      </c>
      <c r="E41" t="s">
        <v>54</v>
      </c>
      <c r="F41" t="s">
        <v>3</v>
      </c>
      <c r="G41" t="s">
        <v>3</v>
      </c>
      <c r="H41" s="9" t="s">
        <v>387</v>
      </c>
      <c r="I41" s="10" t="s">
        <v>8</v>
      </c>
      <c r="J41" s="9" t="s">
        <v>272</v>
      </c>
      <c r="K41" s="10" t="s">
        <v>53</v>
      </c>
      <c r="L41" s="9" t="s">
        <v>374</v>
      </c>
      <c r="M41" s="10" t="s">
        <v>294</v>
      </c>
      <c r="N41">
        <v>3.5566800000000001</v>
      </c>
      <c r="O41" s="4">
        <v>44196</v>
      </c>
      <c r="P41">
        <v>2019</v>
      </c>
      <c r="Q41">
        <v>4.1199997000000002E-2</v>
      </c>
      <c r="R41">
        <v>0</v>
      </c>
      <c r="S41">
        <v>6.1809999999999997E-2</v>
      </c>
      <c r="T41">
        <v>21451400</v>
      </c>
    </row>
    <row r="42" spans="1:20" x14ac:dyDescent="0.25">
      <c r="A42" s="7" t="str" cm="1">
        <f t="array" ref="A42">SQLupdate("Variables", 1, "NULL", Companies[[#This Row],[Ticker]], Companies[[#This Row],[CompanyId]],Companies[[#This Row],[CountryId]], Companies[[#This Row],[IndustryId]], Companies[[#This Row],[SectorId]])</f>
        <v>UPDATE Variables SET VARCHAR(32) = "7b34c596f56a4cd08c67c9ff0210deb3", VARCHAR(32) = "7c0b2940e6a3417e9b871a3626d77b94", VARCHAR(32) = "d8dbc4d5a2a643978ea9e2f580085caa", VARCHAR(32) = "a436973cb1f74733849efe879a001a52" WHERE (VARCHAR(16) = "GREEN.ST");</v>
      </c>
      <c r="B42" s="7" t="str" cm="1">
        <f t="array" ref="B42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"7b34c596f56a4cd08c67c9ff0210deb3","GREEN.ST","Green Landscaping Group AB","SEK","SEK","7c0b2940e6a3417e9b871a3626d77b94","d8dbc4d5a2a643978ea9e2f580085caa","a436973cb1f74733849efe879a001a52",0.454183,"31/12/2020",2019,0,0.53205,0.2455,52944200);</v>
      </c>
      <c r="C42" s="9" t="s">
        <v>353</v>
      </c>
      <c r="D42" t="s">
        <v>52</v>
      </c>
      <c r="E42" t="s">
        <v>51</v>
      </c>
      <c r="F42" t="s">
        <v>48</v>
      </c>
      <c r="G42" t="s">
        <v>48</v>
      </c>
      <c r="H42" s="9" t="s">
        <v>386</v>
      </c>
      <c r="I42" s="10" t="s">
        <v>49</v>
      </c>
      <c r="J42" s="9" t="s">
        <v>248</v>
      </c>
      <c r="K42" s="10" t="s">
        <v>50</v>
      </c>
      <c r="L42" s="9" t="s">
        <v>374</v>
      </c>
      <c r="M42" s="10" t="s">
        <v>294</v>
      </c>
      <c r="N42">
        <v>0.454183</v>
      </c>
      <c r="O42" s="4">
        <v>44196</v>
      </c>
      <c r="P42">
        <v>2019</v>
      </c>
      <c r="Q42">
        <v>0</v>
      </c>
      <c r="R42">
        <v>0.53205000000000002</v>
      </c>
      <c r="S42">
        <v>0.2455</v>
      </c>
      <c r="T42">
        <v>52944200</v>
      </c>
    </row>
    <row r="43" spans="1:20" x14ac:dyDescent="0.25">
      <c r="A43" s="7" t="str" cm="1">
        <f t="array" ref="A43">SQLupdate("Variables", 1, "NULL", Companies[[#This Row],[Ticker]], Companies[[#This Row],[CompanyId]],Companies[[#This Row],[CountryId]], Companies[[#This Row],[IndustryId]], Companies[[#This Row],[SectorId]])</f>
        <v>UPDATE Variables SET VARCHAR(32) = "b4d88d61ae8841828a95da772b9ea4df", VARCHAR(32) = "5264fc5611d1402eb34796c87d9f6472", VARCHAR(32) = "55fa45c00a394112b7cc2b7070e6fdbc", VARCHAR(32) = "a08ce34da04f4ab8b7c796f30dc40876" WHERE (VARCHAR(16) = "CSAM.OL");</v>
      </c>
      <c r="B43" s="7" t="str" cm="1">
        <f t="array" ref="B43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"b4d88d61ae8841828a95da772b9ea4df","CSAM.OL","CSAM HEALTH GROUP","NOK","NOK","5264fc5611d1402eb34796c87d9f6472","55fa45c00a394112b7cc2b7070e6fdbc","a08ce34da04f4ab8b7c796f30dc40876",1,"31/12/2020",2019,0,0.41777,0.30488002,20967400);</v>
      </c>
      <c r="C43" s="9" t="s">
        <v>362</v>
      </c>
      <c r="D43" t="s">
        <v>299</v>
      </c>
      <c r="E43" t="s">
        <v>300</v>
      </c>
      <c r="F43" t="s">
        <v>301</v>
      </c>
      <c r="G43" t="s">
        <v>301</v>
      </c>
      <c r="H43" s="9" t="s">
        <v>390</v>
      </c>
      <c r="I43" s="10" t="s">
        <v>302</v>
      </c>
      <c r="J43" s="9" t="s">
        <v>366</v>
      </c>
      <c r="K43" s="10" t="s">
        <v>303</v>
      </c>
      <c r="L43" s="9" t="s">
        <v>376</v>
      </c>
      <c r="M43" s="10" t="s">
        <v>296</v>
      </c>
      <c r="N43">
        <v>1</v>
      </c>
      <c r="O43" s="4">
        <v>44196</v>
      </c>
      <c r="P43">
        <v>2019</v>
      </c>
      <c r="Q43">
        <v>0</v>
      </c>
      <c r="R43">
        <v>0.41776999999999997</v>
      </c>
      <c r="S43">
        <v>0.30488001999999997</v>
      </c>
      <c r="T43">
        <v>20967400</v>
      </c>
    </row>
    <row r="44" spans="1:20" x14ac:dyDescent="0.25">
      <c r="A44" s="7" t="str" cm="1">
        <f t="array" ref="A44">SQLupdate("Variables", 1, "NULL", Companies[[#This Row],[Ticker]], Companies[[#This Row],[CompanyId]],Companies[[#This Row],[CountryId]], Companies[[#This Row],[IndustryId]], Companies[[#This Row],[SectorId]])</f>
        <v>UPDATE Variables SET VARCHAR(32) = "1a6264fa21f84828ad3cc0dd7dbeecbc", VARCHAR(32) = "8bf5b74ef4a74d118cfc8894e88fe5c9", VARCHAR(32) = "615be309c15d44b9abe7e5d740032d6d", VARCHAR(32) = "a436973cb1f74733849efe879a001a52" WHERE (VARCHAR(16) = "ATA.TO");</v>
      </c>
      <c r="B44" s="7" t="str" cm="1">
        <f t="array" ref="B44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"1a6264fa21f84828ad3cc0dd7dbeecbc","ATA.TO","ATS AUTOMATION","CAD","CAD","8bf5b74ef4a74d118cfc8894e88fe5c9","615be309c15d44b9abe7e5d740032d6d","a436973cb1f74733849efe879a001a52",1.514358,"31/03/2021",2020,0,0.0062599997,0.56783,92260200);</v>
      </c>
      <c r="C44" s="9" t="s">
        <v>354</v>
      </c>
      <c r="D44" t="s">
        <v>47</v>
      </c>
      <c r="E44" t="s">
        <v>46</v>
      </c>
      <c r="F44" t="s">
        <v>1</v>
      </c>
      <c r="G44" t="s">
        <v>1</v>
      </c>
      <c r="H44" s="9" t="s">
        <v>385</v>
      </c>
      <c r="I44" s="10" t="s">
        <v>35</v>
      </c>
      <c r="J44" s="9" t="s">
        <v>258</v>
      </c>
      <c r="K44" s="10" t="s">
        <v>45</v>
      </c>
      <c r="L44" s="9" t="s">
        <v>374</v>
      </c>
      <c r="M44" s="10" t="s">
        <v>294</v>
      </c>
      <c r="N44">
        <v>1.5143580000000001</v>
      </c>
      <c r="O44" s="4">
        <v>44286</v>
      </c>
      <c r="P44">
        <v>2020</v>
      </c>
      <c r="Q44">
        <v>0</v>
      </c>
      <c r="R44">
        <v>6.2599997000000003E-3</v>
      </c>
      <c r="S44">
        <v>0.56782999999999995</v>
      </c>
      <c r="T44">
        <v>92260200</v>
      </c>
    </row>
    <row r="45" spans="1:20" x14ac:dyDescent="0.25">
      <c r="A45" s="7" t="str" cm="1">
        <f t="array" ref="A45">SQLupdate("Variables", 1, "NULL", Companies[[#This Row],[Ticker]], Companies[[#This Row],[CompanyId]],Companies[[#This Row],[CountryId]], Companies[[#This Row],[IndustryId]], Companies[[#This Row],[SectorId]])</f>
        <v>UPDATE Variables SET VARCHAR(32) = "c668f1f34b084198b566b6ad619b6781", VARCHAR(32) = "c0a917ab0f19441aafbe3feafcc1f2f5", VARCHAR(32) = "5f50aeaa8bec4278a8e5b945567cf0ba", VARCHAR(32) = "e54d4e98453c4ba2824fa1e65ad3be3a" WHERE (VARCHAR(16) = "0762.HK");</v>
      </c>
      <c r="B45" s="7" t="str" cm="1">
        <f t="array" ref="B45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"c668f1f34b084198b566b6ad619b6781","0762.HK","CHINA UNICOM","HKD","CNY","c0a917ab0f19441aafbe3feafcc1f2f5","5f50aeaa8bec4278a8e5b945567cf0ba","e54d4e98453c4ba2824fa1e65ad3be3a",0.988752,"31/12/2020",2019,0.0791,0.79934,0.01719,30598100992);</v>
      </c>
      <c r="C45" s="9" t="s">
        <v>317</v>
      </c>
      <c r="D45" t="s">
        <v>137</v>
      </c>
      <c r="E45" t="s">
        <v>136</v>
      </c>
      <c r="F45" t="s">
        <v>29</v>
      </c>
      <c r="G45" t="s">
        <v>0</v>
      </c>
      <c r="H45" s="9" t="s">
        <v>391</v>
      </c>
      <c r="I45" s="10" t="s">
        <v>135</v>
      </c>
      <c r="J45" s="9" t="s">
        <v>252</v>
      </c>
      <c r="K45" s="10" t="s">
        <v>109</v>
      </c>
      <c r="L45" s="9" t="s">
        <v>370</v>
      </c>
      <c r="M45" s="10" t="s">
        <v>288</v>
      </c>
      <c r="N45">
        <v>0.98875199999999996</v>
      </c>
      <c r="O45" s="4">
        <v>44196</v>
      </c>
      <c r="P45">
        <v>2019</v>
      </c>
      <c r="Q45">
        <v>7.9100000000000004E-2</v>
      </c>
      <c r="R45">
        <v>0.79934000000000005</v>
      </c>
      <c r="S45">
        <v>1.719E-2</v>
      </c>
      <c r="T45">
        <v>30598100992</v>
      </c>
    </row>
    <row r="46" spans="1:20" x14ac:dyDescent="0.25">
      <c r="A46" s="7" t="str" cm="1">
        <f t="array" ref="A46">SQLupdate("Variables", 1, "NULL", Companies[[#This Row],[Ticker]], Companies[[#This Row],[CompanyId]],Companies[[#This Row],[CountryId]], Companies[[#This Row],[IndustryId]], Companies[[#This Row],[SectorId]])</f>
        <v>UPDATE Variables SET VARCHAR(32) = "3a5602be05f048e9987287203659f82f", VARCHAR(32) = "d56d9f2812d94be4bfbf907aaa847093", VARCHAR(32) = "78846dd001d54eb7936d1227c5296be8", VARCHAR(32) = "e54d4e98453c4ba2824fa1e65ad3be3a" WHERE (VARCHAR(16) = "GOOG");</v>
      </c>
      <c r="B46" s="7" t="str" cm="1">
        <f t="array" ref="B46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"3a5602be05f048e9987287203659f82f","GOOG","Alphabet Inc.","USD","USD","d56d9f2812d94be4bfbf907aaa847093","78846dd001d54eb7936d1227c5296be8","e54d4e98453c4ba2824fa1e65ad3be3a",1.069617,"31/12/2021",2020,0,0.00035,0.66629,315639008);</v>
      </c>
      <c r="C46" s="9" t="s">
        <v>327</v>
      </c>
      <c r="D46" t="s">
        <v>44</v>
      </c>
      <c r="E46" t="s">
        <v>43</v>
      </c>
      <c r="F46" t="s">
        <v>12</v>
      </c>
      <c r="G46" t="s">
        <v>12</v>
      </c>
      <c r="H46" s="9" t="s">
        <v>380</v>
      </c>
      <c r="I46" s="10" t="s">
        <v>13</v>
      </c>
      <c r="J46" s="9" t="s">
        <v>259</v>
      </c>
      <c r="K46" s="10" t="s">
        <v>42</v>
      </c>
      <c r="L46" s="9" t="s">
        <v>370</v>
      </c>
      <c r="M46" s="10" t="s">
        <v>288</v>
      </c>
      <c r="N46">
        <v>1.069617</v>
      </c>
      <c r="O46" s="4">
        <v>44561</v>
      </c>
      <c r="P46">
        <v>2020</v>
      </c>
      <c r="Q46">
        <v>0</v>
      </c>
      <c r="R46">
        <v>3.5E-4</v>
      </c>
      <c r="S46">
        <v>0.66629000000000005</v>
      </c>
      <c r="T46">
        <v>315639008</v>
      </c>
    </row>
    <row r="47" spans="1:20" x14ac:dyDescent="0.25">
      <c r="A47" s="7" t="str" cm="1">
        <f t="array" ref="A47">SQLupdate("Variables", 1, "NULL", Companies[[#This Row],[Ticker]], Companies[[#This Row],[CompanyId]],Companies[[#This Row],[CountryId]], Companies[[#This Row],[IndustryId]], Companies[[#This Row],[SectorId]])</f>
        <v>UPDATE Variables SET VARCHAR(32) = "c20ae476919c405fbb7ee270bd6adced", VARCHAR(32) = "ef4eb3ba9070411b9fdb0e2d7bb7ecda", VARCHAR(32) = "4678c50d40cc4b4580823c105925092e", VARCHAR(32) = "2fd75f24aa5149e7b17a86a49123ac88" WHERE (VARCHAR(16) = "ECONB.BR");</v>
      </c>
      <c r="B47" s="7" t="str" cm="1">
        <f t="array" ref="B47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"c20ae476919c405fbb7ee270bd6adced","ECONB.BR","ECONOCOM GROUP","EUR","EUR","ef4eb3ba9070411b9fdb0e2d7bb7ecda","4678c50d40cc4b4580823c105925092e","2fd75f24aa5149e7b17a86a49123ac88",1.480277,"31/12/2021",2020,0.0339,0.4027,0.20319,183827008);</v>
      </c>
      <c r="C47" s="9" t="s">
        <v>312</v>
      </c>
      <c r="D47" t="s">
        <v>150</v>
      </c>
      <c r="E47" t="s">
        <v>149</v>
      </c>
      <c r="F47" t="s">
        <v>3</v>
      </c>
      <c r="G47" t="s">
        <v>3</v>
      </c>
      <c r="H47" s="9" t="s">
        <v>384</v>
      </c>
      <c r="I47" s="10" t="s">
        <v>9</v>
      </c>
      <c r="J47" s="9" t="s">
        <v>249</v>
      </c>
      <c r="K47" s="10" t="s">
        <v>73</v>
      </c>
      <c r="L47" s="9" t="s">
        <v>368</v>
      </c>
      <c r="M47" s="10" t="s">
        <v>284</v>
      </c>
      <c r="N47">
        <v>1.4802770000000001</v>
      </c>
      <c r="O47" s="4">
        <v>44561</v>
      </c>
      <c r="P47">
        <v>2020</v>
      </c>
      <c r="Q47">
        <v>3.39E-2</v>
      </c>
      <c r="R47">
        <v>0.4027</v>
      </c>
      <c r="S47">
        <v>0.20319000000000001</v>
      </c>
      <c r="T47">
        <v>183827008</v>
      </c>
    </row>
    <row r="48" spans="1:20" x14ac:dyDescent="0.25">
      <c r="A48" s="7" t="str" cm="1">
        <f t="array" ref="A48">SQLupdate("Variables", 1, "NULL", Companies[[#This Row],[Ticker]], Companies[[#This Row],[CompanyId]],Companies[[#This Row],[CountryId]], Companies[[#This Row],[IndustryId]], Companies[[#This Row],[SectorId]])</f>
        <v>UPDATE Variables SET VARCHAR(32) = "560deb9c86d84a26a5975e2c318c4d08", VARCHAR(32) = "3e8853bbaebd453688f689ac70ed2299", VARCHAR(32) = "8921f3f2b17e42b3ad321d7e00abdcd0", VARCHAR(32) = "da0227ccdfd2471b94078b745f53e9aa" WHERE (VARCHAR(16) = "1044.HK");</v>
      </c>
      <c r="B48" s="7" t="str" cm="1">
        <f t="array" ref="B48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"560deb9c86d84a26a5975e2c318c4d08","1044.HK","HENGAN INT'L","HKD","CNY","3e8853bbaebd453688f689ac70ed2299","8921f3f2b17e42b3ad321d7e00abdcd0","da0227ccdfd2471b94078b745f53e9aa",0.418853,"31/12/2020",2019,0.0668,0.48178002,0.25983,1162119936);</v>
      </c>
      <c r="C48" s="9" t="s">
        <v>328</v>
      </c>
      <c r="D48" t="s">
        <v>41</v>
      </c>
      <c r="E48" t="s">
        <v>40</v>
      </c>
      <c r="F48" t="s">
        <v>29</v>
      </c>
      <c r="G48" t="s">
        <v>0</v>
      </c>
      <c r="H48" s="9" t="s">
        <v>383</v>
      </c>
      <c r="I48" s="10" t="s">
        <v>30</v>
      </c>
      <c r="J48" s="9" t="s">
        <v>256</v>
      </c>
      <c r="K48" s="10" t="s">
        <v>39</v>
      </c>
      <c r="L48" s="9" t="s">
        <v>371</v>
      </c>
      <c r="M48" s="10" t="s">
        <v>289</v>
      </c>
      <c r="N48">
        <v>0.41885299999999998</v>
      </c>
      <c r="O48" s="4">
        <v>44196</v>
      </c>
      <c r="P48">
        <v>2019</v>
      </c>
      <c r="Q48">
        <v>6.6799999999999998E-2</v>
      </c>
      <c r="R48">
        <v>0.48178001999999998</v>
      </c>
      <c r="S48">
        <v>0.25983000000000001</v>
      </c>
      <c r="T48">
        <v>1162119936</v>
      </c>
    </row>
    <row r="49" spans="1:20" x14ac:dyDescent="0.25">
      <c r="A49" s="7" t="str" cm="1">
        <f t="array" ref="A49">SQLupdate("Variables", 1, "NULL", Companies[[#This Row],[Ticker]], Companies[[#This Row],[CompanyId]],Companies[[#This Row],[CountryId]], Companies[[#This Row],[IndustryId]], Companies[[#This Row],[SectorId]])</f>
        <v>UPDATE Variables SET VARCHAR(32) = "e6f1fb77f48f4094b509a7cfc276dea5", VARCHAR(32) = "d562b7290f83412486db78eeca1a1571", VARCHAR(32) = "1ac6b1bb738644ddba034c314a4c974a", VARCHAR(32) = "9853be4e29a7433c8c9c7f18443a891e" WHERE (VARCHAR(16) = "REP.MC");</v>
      </c>
      <c r="B49" s="7" t="str" cm="1">
        <f t="array" ref="B49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"e6f1fb77f48f4094b509a7cfc276dea5","REP.MC","REPSOL,  S.A.","EUR","EUR","d562b7290f83412486db78eeca1a1571","1ac6b1bb738644ddba034c314a4c974a","9853be4e29a7433c8c9c7f18443a891e",1.416844,"31/12/2021",2020,0.051599998,0.06311,0.33977002,1474070016);</v>
      </c>
      <c r="C49" s="9" t="s">
        <v>330</v>
      </c>
      <c r="D49" t="s">
        <v>27</v>
      </c>
      <c r="E49" t="s">
        <v>26</v>
      </c>
      <c r="F49" t="s">
        <v>3</v>
      </c>
      <c r="G49" t="s">
        <v>3</v>
      </c>
      <c r="H49" s="9" t="s">
        <v>381</v>
      </c>
      <c r="I49" s="10" t="s">
        <v>25</v>
      </c>
      <c r="J49" s="9" t="s">
        <v>273</v>
      </c>
      <c r="K49" s="10" t="s">
        <v>22</v>
      </c>
      <c r="L49" s="9" t="s">
        <v>377</v>
      </c>
      <c r="M49" s="10" t="s">
        <v>304</v>
      </c>
      <c r="N49">
        <v>1.416844</v>
      </c>
      <c r="O49" s="4">
        <v>44561</v>
      </c>
      <c r="P49">
        <v>2020</v>
      </c>
      <c r="Q49">
        <v>5.1599998000000001E-2</v>
      </c>
      <c r="R49">
        <v>6.3109999999999999E-2</v>
      </c>
      <c r="S49">
        <v>0.33977002000000001</v>
      </c>
      <c r="T49">
        <v>1474070016</v>
      </c>
    </row>
    <row r="50" spans="1:20" x14ac:dyDescent="0.25">
      <c r="A50" s="7" t="str" cm="1">
        <f t="array" ref="A50">SQLupdate("Variables", 1, "NULL", Companies[[#This Row],[Ticker]], Companies[[#This Row],[CompanyId]],Companies[[#This Row],[CountryId]], Companies[[#This Row],[IndustryId]], Companies[[#This Row],[SectorId]])</f>
        <v>UPDATE Variables SET VARCHAR(32) = "2fe12cf7473843d79f86130fa3d16dcb", VARCHAR(32) = "ef4eb3ba9070411b9fdb0e2d7bb7ecda", VARCHAR(32) = "1ac6b1bb738644ddba034c314a4c974a", VARCHAR(32) = "9853be4e29a7433c8c9c7f18443a891e" WHERE (VARCHAR(16) = "TTE.PA");</v>
      </c>
      <c r="B50" s="7" t="str" cm="1">
        <f t="array" ref="B50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"2fe12cf7473843d79f86130fa3d16dcb","TTE.PA","TOTALENERGIES","EUR","USD","ef4eb3ba9070411b9fdb0e2d7bb7ecda","1ac6b1bb738644ddba034c314a4c974a","9853be4e29a7433c8c9c7f18443a891e",1.084754,"31/12/2021",2020,0.0579,0.06485,0.41869,2596460032);</v>
      </c>
      <c r="C50" s="9" t="s">
        <v>356</v>
      </c>
      <c r="D50" t="s">
        <v>24</v>
      </c>
      <c r="E50" t="s">
        <v>23</v>
      </c>
      <c r="F50" t="s">
        <v>3</v>
      </c>
      <c r="G50" t="s">
        <v>12</v>
      </c>
      <c r="H50" s="9" t="s">
        <v>384</v>
      </c>
      <c r="I50" s="10" t="s">
        <v>9</v>
      </c>
      <c r="J50" s="9" t="s">
        <v>273</v>
      </c>
      <c r="K50" s="10" t="s">
        <v>22</v>
      </c>
      <c r="L50" s="9" t="s">
        <v>377</v>
      </c>
      <c r="M50" s="10" t="s">
        <v>304</v>
      </c>
      <c r="N50">
        <v>1.084754</v>
      </c>
      <c r="O50" s="4">
        <v>44561</v>
      </c>
      <c r="P50">
        <v>2020</v>
      </c>
      <c r="Q50">
        <v>5.79E-2</v>
      </c>
      <c r="R50">
        <v>6.4850000000000005E-2</v>
      </c>
      <c r="S50">
        <v>0.41869000000000001</v>
      </c>
      <c r="T50">
        <v>2596460032</v>
      </c>
    </row>
    <row r="51" spans="1:20" x14ac:dyDescent="0.25">
      <c r="A51" s="7" t="str" cm="1">
        <f t="array" ref="A51">SQLupdate("Variables", 1, "NULL", Companies[[#This Row],[Ticker]], Companies[[#This Row],[CompanyId]],Companies[[#This Row],[CountryId]], Companies[[#This Row],[IndustryId]], Companies[[#This Row],[SectorId]])</f>
        <v>UPDATE Variables SET VARCHAR(32) = "1c6f25d2a22c42b3af5cc483a2178a92", VARCHAR(32) = "879f29811883416593d46289d1d09328", VARCHAR(32) = "24d059265a434a20a9e6fc3166491e61", VARCHAR(32) = "0392637cb8864cc584ad6663542080ef" WHERE (VARCHAR(16) = "4095.T");</v>
      </c>
      <c r="B51" s="7" t="str" cm="1">
        <f t="array" ref="B51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"1c6f25d2a22c42b3af5cc483a2178a92","4095.T","NIHON PARKERIZING CO","JPY","JPY","879f29811883416593d46289d1d09328","24d059265a434a20a9e6fc3166491e61","0392637cb8864cc584ad6663542080ef",0.559168,"31/03/2021",2020,0.026099999,0.12231,0.39086,117623000);</v>
      </c>
      <c r="C51" s="9" t="s">
        <v>313</v>
      </c>
      <c r="D51" t="s">
        <v>148</v>
      </c>
      <c r="E51" t="s">
        <v>147</v>
      </c>
      <c r="F51" t="s">
        <v>144</v>
      </c>
      <c r="G51" t="s">
        <v>144</v>
      </c>
      <c r="H51" s="9" t="s">
        <v>392</v>
      </c>
      <c r="I51" s="10" t="s">
        <v>145</v>
      </c>
      <c r="J51" s="9" t="s">
        <v>250</v>
      </c>
      <c r="K51" s="10" t="s">
        <v>146</v>
      </c>
      <c r="L51" s="9" t="s">
        <v>378</v>
      </c>
      <c r="M51" s="10" t="s">
        <v>305</v>
      </c>
      <c r="N51">
        <v>0.559168</v>
      </c>
      <c r="O51" s="4">
        <v>44286</v>
      </c>
      <c r="P51">
        <v>2020</v>
      </c>
      <c r="Q51">
        <v>2.6099998999999999E-2</v>
      </c>
      <c r="R51">
        <v>0.12231</v>
      </c>
      <c r="S51">
        <v>0.39085999999999999</v>
      </c>
      <c r="T51">
        <v>117623000</v>
      </c>
    </row>
    <row r="52" spans="1:20" x14ac:dyDescent="0.25">
      <c r="A52" s="7" t="str" cm="1">
        <f t="array" ref="A52">SQLupdate("Variables", 1, "NULL", Companies[[#This Row],[Ticker]], Companies[[#This Row],[CompanyId]],Companies[[#This Row],[CountryId]], Companies[[#This Row],[IndustryId]], Companies[[#This Row],[SectorId]])</f>
        <v>UPDATE Variables SET VARCHAR(32) = "d3536046bf00437cb1169f5e05b9eb47", VARCHAR(32) = "d56d9f2812d94be4bfbf907aaa847093", VARCHAR(32) = "b6d893239bcc40e79f6344f18bb32e9c", VARCHAR(32) = "da0227ccdfd2471b94078b745f53e9aa" WHERE (VARCHAR(16) = "SFM");</v>
      </c>
      <c r="B52" s="7" t="str" cm="1">
        <f t="array" ref="B52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"d3536046bf00437cb1169f5e05b9eb47","SFM","Sprouts Farmers Market, Inc.","USD","USD","d56d9f2812d94be4bfbf907aaa847093","b6d893239bcc40e79f6344f18bb32e9c","da0227ccdfd2471b94078b745f53e9aa",0.296259,"31/12/2021",2020,0,0.0072600003,1.1025901,110906000);</v>
      </c>
      <c r="C52" s="9" t="s">
        <v>318</v>
      </c>
      <c r="D52" t="s">
        <v>134</v>
      </c>
      <c r="E52" t="s">
        <v>133</v>
      </c>
      <c r="F52" t="s">
        <v>12</v>
      </c>
      <c r="G52" t="s">
        <v>12</v>
      </c>
      <c r="H52" s="9" t="s">
        <v>380</v>
      </c>
      <c r="I52" s="10" t="s">
        <v>13</v>
      </c>
      <c r="J52" s="9" t="s">
        <v>253</v>
      </c>
      <c r="K52" s="10" t="s">
        <v>132</v>
      </c>
      <c r="L52" s="9" t="s">
        <v>371</v>
      </c>
      <c r="M52" s="10" t="s">
        <v>289</v>
      </c>
      <c r="N52">
        <v>0.29625899999999999</v>
      </c>
      <c r="O52" s="4">
        <v>44561</v>
      </c>
      <c r="P52">
        <v>2020</v>
      </c>
      <c r="Q52">
        <v>0</v>
      </c>
      <c r="R52">
        <v>7.2600002999999996E-3</v>
      </c>
      <c r="S52">
        <v>1.1025901</v>
      </c>
      <c r="T52">
        <v>110906000</v>
      </c>
    </row>
    <row r="53" spans="1:20" x14ac:dyDescent="0.25">
      <c r="A53" s="7" t="str" cm="1">
        <f t="array" ref="A53">SQLupdate("Variables", 1, "NULL", Companies[[#This Row],[Ticker]], Companies[[#This Row],[CompanyId]],Companies[[#This Row],[CountryId]], Companies[[#This Row],[IndustryId]], Companies[[#This Row],[SectorId]])</f>
        <v>UPDATE Variables SET VARCHAR(32) = "b80664869519496c992d89824fa03b97", VARCHAR(32) = "8bf5b74ef4a74d118cfc8894e88fe5c9", VARCHAR(32) = "d8dbc4d5a2a643978ea9e2f580085caa", VARCHAR(32) = "a436973cb1f74733849efe879a001a52" WHERE (VARCHAR(16) = "GDI.TO");</v>
      </c>
      <c r="B53" s="7" t="str" cm="1">
        <f t="array" ref="B53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"b80664869519496c992d89824fa03b97","GDI.TO","GDI INTEGRATED FACILITY SERVICE","CAD","CAD","8bf5b74ef4a74d118cfc8894e88fe5c9","d8dbc4d5a2a643978ea9e2f580085caa","a436973cb1f74733849efe879a001a52",0.980855,"31/12/2021",2020,0,0.0029,0.47457,14280000);</v>
      </c>
      <c r="C53" s="9" t="s">
        <v>310</v>
      </c>
      <c r="D53" t="s">
        <v>154</v>
      </c>
      <c r="E53" t="s">
        <v>153</v>
      </c>
      <c r="F53" t="s">
        <v>1</v>
      </c>
      <c r="G53" t="s">
        <v>1</v>
      </c>
      <c r="H53" s="9" t="s">
        <v>385</v>
      </c>
      <c r="I53" s="10" t="s">
        <v>35</v>
      </c>
      <c r="J53" s="9" t="s">
        <v>248</v>
      </c>
      <c r="K53" s="10" t="s">
        <v>50</v>
      </c>
      <c r="L53" s="9" t="s">
        <v>374</v>
      </c>
      <c r="M53" s="10" t="s">
        <v>294</v>
      </c>
      <c r="N53">
        <v>0.98085500000000003</v>
      </c>
      <c r="O53" s="4">
        <v>44561</v>
      </c>
      <c r="P53">
        <v>2020</v>
      </c>
      <c r="Q53">
        <v>0</v>
      </c>
      <c r="R53">
        <v>2.8999999999999998E-3</v>
      </c>
      <c r="S53">
        <v>0.47456999999999999</v>
      </c>
      <c r="T53">
        <v>14280000</v>
      </c>
    </row>
    <row r="54" spans="1:20" x14ac:dyDescent="0.25">
      <c r="A54" s="7" t="str" cm="1">
        <f t="array" ref="A54">SQLupdate("Variables", 1, "NULL", Companies[[#This Row],[Ticker]], Companies[[#This Row],[CompanyId]],Companies[[#This Row],[CountryId]], Companies[[#This Row],[IndustryId]], Companies[[#This Row],[SectorId]])</f>
        <v>UPDATE Variables SET VARCHAR(32) = "d3f3d3d684784120a3a8d953b551b612", VARCHAR(32) = "ef4eb3ba9070411b9fdb0e2d7bb7ecda", VARCHAR(32) = "5eb855557cc74e37aa3ffa63414ffeec", VARCHAR(32) = "e54d4e98453c4ba2824fa1e65ad3be3a" WHERE (VARCHAR(16) = "BOL.PA");</v>
      </c>
      <c r="B54" s="7" t="str" cm="1">
        <f t="array" ref="B54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"d3f3d3d684784120a3a8d953b551b612","BOL.PA","BOLLORE SE","EUR","EUR","ef4eb3ba9070411b9fdb0e2d7bb7ecda","5eb855557cc74e37aa3ffa63414ffeec","e54d4e98453c4ba2824fa1e65ad3be3a",0.813432,"31/12/2020",2019,0.0127,0.69319,0.14186,2932120064);</v>
      </c>
      <c r="C54" s="9" t="s">
        <v>331</v>
      </c>
      <c r="D54" t="s">
        <v>20</v>
      </c>
      <c r="E54" t="s">
        <v>19</v>
      </c>
      <c r="F54" t="s">
        <v>3</v>
      </c>
      <c r="G54" t="s">
        <v>3</v>
      </c>
      <c r="H54" s="9" t="s">
        <v>384</v>
      </c>
      <c r="I54" s="10" t="s">
        <v>9</v>
      </c>
      <c r="J54" s="9" t="s">
        <v>274</v>
      </c>
      <c r="K54" s="10" t="s">
        <v>18</v>
      </c>
      <c r="L54" s="9" t="s">
        <v>370</v>
      </c>
      <c r="M54" s="10" t="s">
        <v>288</v>
      </c>
      <c r="N54">
        <v>0.81343200000000004</v>
      </c>
      <c r="O54" s="4">
        <v>44196</v>
      </c>
      <c r="P54">
        <v>2019</v>
      </c>
      <c r="Q54">
        <v>1.2699999999999999E-2</v>
      </c>
      <c r="R54">
        <v>0.69318999999999997</v>
      </c>
      <c r="S54">
        <v>0.14186000000000001</v>
      </c>
      <c r="T54">
        <v>2932120064</v>
      </c>
    </row>
    <row r="55" spans="1:20" x14ac:dyDescent="0.25">
      <c r="A55" s="7" t="str" cm="1">
        <f t="array" ref="A55">SQLupdate("Variables", 1, "NULL", Companies[[#This Row],[Ticker]], Companies[[#This Row],[CompanyId]],Companies[[#This Row],[CountryId]], Companies[[#This Row],[IndustryId]], Companies[[#This Row],[SectorId]])</f>
        <v>UPDATE Variables SET VARCHAR(32) = "a3c565220975417b8e2aa3e5e03a0a98", VARCHAR(32) = "d56d9f2812d94be4bfbf907aaa847093", VARCHAR(32) = "676dbe7fb48d468eb825d10efe25e743", VARCHAR(32) = "2fd75f24aa5149e7b17a86a49123ac88" WHERE (VARCHAR(16) = "MU");</v>
      </c>
      <c r="B55" s="7" t="str" cm="1">
        <f t="array" ref="B55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"a3c565220975417b8e2aa3e5e03a0a98","MU","Micron Technology, Inc.","USD","USD","d56d9f2812d94be4bfbf907aaa847093","676dbe7fb48d468eb825d10efe25e743","2fd75f24aa5149e7b17a86a49123ac88",1,"31/08/2021",2020,0.0023999999,0.00193,0.82128996,1119779968);</v>
      </c>
      <c r="C55" s="9" t="s">
        <v>357</v>
      </c>
      <c r="D55" t="s">
        <v>16</v>
      </c>
      <c r="E55" t="s">
        <v>15</v>
      </c>
      <c r="F55" t="s">
        <v>12</v>
      </c>
      <c r="G55" t="s">
        <v>12</v>
      </c>
      <c r="H55" s="9" t="s">
        <v>380</v>
      </c>
      <c r="I55" s="10" t="s">
        <v>13</v>
      </c>
      <c r="J55" s="9" t="s">
        <v>260</v>
      </c>
      <c r="K55" s="10" t="s">
        <v>14</v>
      </c>
      <c r="L55" s="9" t="s">
        <v>368</v>
      </c>
      <c r="M55" s="10" t="s">
        <v>284</v>
      </c>
      <c r="N55">
        <v>1</v>
      </c>
      <c r="O55" s="4">
        <v>44439</v>
      </c>
      <c r="P55">
        <v>2020</v>
      </c>
      <c r="Q55">
        <v>2.3999999000000002E-3</v>
      </c>
      <c r="R55">
        <v>1.9300000000000001E-3</v>
      </c>
      <c r="S55">
        <v>0.82128995999999999</v>
      </c>
      <c r="T55">
        <v>1119779968</v>
      </c>
    </row>
    <row r="56" spans="1:20" x14ac:dyDescent="0.25">
      <c r="A56" s="7" t="str" cm="1">
        <f t="array" ref="A56">SQLupdate("Variables", 1, "NULL", Companies[[#This Row],[Ticker]], Companies[[#This Row],[CompanyId]],Companies[[#This Row],[CountryId]], Companies[[#This Row],[IndustryId]], Companies[[#This Row],[SectorId]])</f>
        <v>UPDATE Variables SET VARCHAR(32) = "3f4e7fcfddec4490891c2dd2eb751cbf", VARCHAR(32) = , VARCHAR(32) = "c5ed441a062d4d10b7b3338b381eb8b3", VARCHAR(32) =  WHERE (VARCHAR(16) = "RM.MI");</v>
      </c>
      <c r="B56" s="7" t="str" cm="1">
        <f t="array" ref="B56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"3f4e7fcfddec4490891c2dd2eb751cbf","RM.MI","Reno Di Medici","EUR",,,"c5ed441a062d4d10b7b3338b381eb8b3",,,,,,,,);</v>
      </c>
      <c r="C56" s="9" t="s">
        <v>306</v>
      </c>
      <c r="D56" t="s">
        <v>164</v>
      </c>
      <c r="E56" s="13" t="s">
        <v>163</v>
      </c>
      <c r="F56" t="s">
        <v>3</v>
      </c>
      <c r="H56" s="12"/>
      <c r="I56" s="10"/>
      <c r="J56" s="12" t="s">
        <v>393</v>
      </c>
      <c r="K56" s="13" t="s">
        <v>162</v>
      </c>
      <c r="L56" s="12"/>
      <c r="M56" s="10"/>
      <c r="O56" s="4"/>
    </row>
    <row r="57" spans="1:20" x14ac:dyDescent="0.25">
      <c r="A57" s="7" t="str" cm="1">
        <f t="array" ref="A57">SQLupdate("Variables", 1, "NULL", Companies[[#This Row],[Ticker]], Companies[[#This Row],[CompanyId]],Companies[[#This Row],[CountryId]], Companies[[#This Row],[IndustryId]], Companies[[#This Row],[SectorId]])</f>
        <v>UPDATE Variables SET VARCHAR(32) = "4f5e64f1324444feb1078ba8451b8ed9", VARCHAR(32) = , VARCHAR(32) = "09927d6549384de58fb37c823db64319", VARCHAR(32) =  WHERE (VARCHAR(16) = "LMT");</v>
      </c>
      <c r="B57" s="7" t="str" cm="1">
        <f t="array" ref="B57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"4f5e64f1324444feb1078ba8451b8ed9","LMT","Lockheed Martin","USD",,,"09927d6549384de58fb37c823db64319",,,,,,,,);</v>
      </c>
      <c r="C57" s="9" t="s">
        <v>311</v>
      </c>
      <c r="D57" t="s">
        <v>5</v>
      </c>
      <c r="E57" s="13" t="s">
        <v>152</v>
      </c>
      <c r="F57" t="s">
        <v>12</v>
      </c>
      <c r="H57" s="12"/>
      <c r="I57" s="10"/>
      <c r="J57" s="12" t="s">
        <v>394</v>
      </c>
      <c r="K57" s="13" t="s">
        <v>151</v>
      </c>
      <c r="L57" s="12"/>
      <c r="M57" s="10"/>
      <c r="O57" s="4"/>
    </row>
    <row r="58" spans="1:20" x14ac:dyDescent="0.25">
      <c r="A58" s="7" t="str" cm="1">
        <f t="array" ref="A58">SQLupdate("Variables", 1, "NULL", Companies[[#This Row],[Ticker]], Companies[[#This Row],[CompanyId]],Companies[[#This Row],[CountryId]], Companies[[#This Row],[IndustryId]], Companies[[#This Row],[SectorId]])</f>
        <v>UPDATE Variables SET VARCHAR(32) = "ba705ca249774c1ca42daaf49f4dd941", VARCHAR(32) = , VARCHAR(32) = "d5071c28308c48748eaf4aa5c7237bc6", VARCHAR(32) =  WHERE (VARCHAR(16) = "VIS.MC");</v>
      </c>
      <c r="B58" s="7" t="str" cm="1">
        <f t="array" ref="B58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"ba705ca249774c1ca42daaf49f4dd941","VIS.MC","Viscofan","EUR",,,"d5071c28308c48748eaf4aa5c7237bc6",,,,,,,,);</v>
      </c>
      <c r="C58" s="9" t="s">
        <v>319</v>
      </c>
      <c r="D58" t="s">
        <v>131</v>
      </c>
      <c r="E58" s="13" t="s">
        <v>130</v>
      </c>
      <c r="F58" t="s">
        <v>3</v>
      </c>
      <c r="H58" s="12"/>
      <c r="I58" s="10"/>
      <c r="J58" s="12" t="s">
        <v>395</v>
      </c>
      <c r="K58" s="13" t="s">
        <v>129</v>
      </c>
      <c r="L58" s="12"/>
      <c r="M58" s="10"/>
      <c r="O58" s="4"/>
    </row>
    <row r="59" spans="1:20" x14ac:dyDescent="0.25">
      <c r="A59" s="7" t="str" cm="1">
        <f t="array" ref="A59">SQLupdate("Variables", 1, "NULL", Companies[[#This Row],[Ticker]], Companies[[#This Row],[CompanyId]],Companies[[#This Row],[CountryId]], Companies[[#This Row],[IndustryId]], Companies[[#This Row],[SectorId]])</f>
        <v>UPDATE Variables SET VARCHAR(32) = "35684995e6344295aa337bc81078460c", VARCHAR(32) = "d56d9f2812d94be4bfbf907aaa847093", VARCHAR(32) = "ab42057f7bea4dec8b5e7cf73fd2516f", VARCHAR(32) =  WHERE (VARCHAR(16) = "AMZN");</v>
      </c>
      <c r="B59" s="7" t="str" cm="1">
        <f t="array" ref="B59">SQLinsert("Companies", 1, "NULL", Companies[[#This Row],[CompanyId]:[CountryId]],Companies[[#This Row],[IndustryId]],Companies[[#This Row],[SectorId]],Companies[[#This Row],[Beta]:[SharesOutstanding]])</f>
        <v>INSERT INTO Companies (VARCHAR(32),VARCHAR(16),VARCHAR(255),VARCHAR(3),VARCHAR(3),VARCHAR(32),VARCHAR(32),VARCHAR(32),DOUBLE,DATE,INT,DOUBLE,DOUBLE,DOUBLE,DOUBLE) VALUES ( "35684995e6344295aa337bc81078460c","AMZN","Amazon.com, Inc.","USD",,"d56d9f2812d94be4bfbf907aaa847093","ab42057f7bea4dec8b5e7cf73fd2516f",,,,,,,,);</v>
      </c>
      <c r="C59" s="9" t="s">
        <v>321</v>
      </c>
      <c r="D59" t="s">
        <v>126</v>
      </c>
      <c r="E59" s="13" t="s">
        <v>125</v>
      </c>
      <c r="F59" t="s">
        <v>12</v>
      </c>
      <c r="H59" s="12" t="s">
        <v>380</v>
      </c>
      <c r="I59" s="10" t="s">
        <v>13</v>
      </c>
      <c r="J59" s="9" t="s">
        <v>251</v>
      </c>
      <c r="K59" s="10" t="s">
        <v>31</v>
      </c>
      <c r="L59" s="12"/>
      <c r="M59" s="10"/>
      <c r="O59" s="4"/>
    </row>
    <row r="60" spans="1:20" x14ac:dyDescent="0.25"/>
    <row r="61" spans="1:20" x14ac:dyDescent="0.25"/>
    <row r="62" spans="1:20" x14ac:dyDescent="0.25"/>
    <row r="63" spans="1:20" x14ac:dyDescent="0.25"/>
    <row r="64" spans="1:20" x14ac:dyDescent="0.25"/>
    <row r="65" x14ac:dyDescent="0.25"/>
  </sheetData>
  <conditionalFormatting sqref="D3:D59">
    <cfRule type="duplicateValues" dxfId="1" priority="2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7F28-FBAF-465B-A912-21F6F7EA4E0D}">
  <sheetPr codeName="Hoja3"/>
  <dimension ref="A1:H35"/>
  <sheetViews>
    <sheetView workbookViewId="0">
      <pane ySplit="1" topLeftCell="A2" activePane="bottomLeft" state="frozen"/>
      <selection pane="bottomLeft" activeCell="E14" sqref="E14"/>
    </sheetView>
  </sheetViews>
  <sheetFormatPr baseColWidth="10" defaultColWidth="0" defaultRowHeight="15" x14ac:dyDescent="0.25"/>
  <cols>
    <col min="1" max="1" width="33.85546875" bestFit="1" customWidth="1"/>
    <col min="2" max="2" width="31.85546875" bestFit="1" customWidth="1"/>
    <col min="3" max="3" width="34.28515625" bestFit="1" customWidth="1"/>
    <col min="4" max="4" width="8.28515625" customWidth="1"/>
    <col min="5" max="5" width="23" bestFit="1" customWidth="1"/>
    <col min="6" max="6" width="34.28515625" bestFit="1" customWidth="1"/>
    <col min="7" max="8" width="11.42578125" customWidth="1"/>
    <col min="9" max="16384" width="11.42578125" hidden="1"/>
  </cols>
  <sheetData>
    <row r="1" spans="1:6" x14ac:dyDescent="0.25">
      <c r="A1" t="s">
        <v>367</v>
      </c>
      <c r="B1" t="s">
        <v>275</v>
      </c>
      <c r="C1" t="s">
        <v>246</v>
      </c>
      <c r="E1" t="s">
        <v>197</v>
      </c>
      <c r="F1" t="s">
        <v>246</v>
      </c>
    </row>
    <row r="2" spans="1:6" x14ac:dyDescent="0.25">
      <c r="A2" t="s">
        <v>364</v>
      </c>
      <c r="B2" t="s">
        <v>283</v>
      </c>
      <c r="C2" t="s">
        <v>368</v>
      </c>
      <c r="E2" t="s">
        <v>284</v>
      </c>
      <c r="F2" t="s">
        <v>368</v>
      </c>
    </row>
    <row r="3" spans="1:6" x14ac:dyDescent="0.25">
      <c r="A3" s="1" t="s">
        <v>254</v>
      </c>
      <c r="B3" t="s">
        <v>36</v>
      </c>
      <c r="C3" t="s">
        <v>368</v>
      </c>
      <c r="E3" t="s">
        <v>287</v>
      </c>
      <c r="F3" s="1" t="s">
        <v>369</v>
      </c>
    </row>
    <row r="4" spans="1:6" x14ac:dyDescent="0.25">
      <c r="A4" s="1" t="s">
        <v>262</v>
      </c>
      <c r="B4" t="s">
        <v>104</v>
      </c>
      <c r="C4" t="s">
        <v>369</v>
      </c>
      <c r="E4" t="s">
        <v>288</v>
      </c>
      <c r="F4" s="1" t="s">
        <v>370</v>
      </c>
    </row>
    <row r="5" spans="1:6" x14ac:dyDescent="0.25">
      <c r="A5" s="1" t="s">
        <v>255</v>
      </c>
      <c r="B5" t="s">
        <v>122</v>
      </c>
      <c r="C5" t="s">
        <v>370</v>
      </c>
      <c r="E5" t="s">
        <v>289</v>
      </c>
      <c r="F5" s="1" t="s">
        <v>371</v>
      </c>
    </row>
    <row r="6" spans="1:6" x14ac:dyDescent="0.25">
      <c r="A6" s="1" t="s">
        <v>252</v>
      </c>
      <c r="B6" t="s">
        <v>109</v>
      </c>
      <c r="C6" t="s">
        <v>370</v>
      </c>
      <c r="E6" t="s">
        <v>292</v>
      </c>
      <c r="F6" s="1" t="s">
        <v>372</v>
      </c>
    </row>
    <row r="7" spans="1:6" x14ac:dyDescent="0.25">
      <c r="A7" s="1" t="s">
        <v>256</v>
      </c>
      <c r="B7" t="s">
        <v>39</v>
      </c>
      <c r="C7" t="s">
        <v>371</v>
      </c>
      <c r="E7" t="s">
        <v>293</v>
      </c>
      <c r="F7" s="1" t="s">
        <v>373</v>
      </c>
    </row>
    <row r="8" spans="1:6" x14ac:dyDescent="0.25">
      <c r="A8" s="1" t="s">
        <v>251</v>
      </c>
      <c r="B8" t="s">
        <v>31</v>
      </c>
      <c r="C8" t="s">
        <v>369</v>
      </c>
      <c r="E8" t="s">
        <v>294</v>
      </c>
      <c r="F8" s="1" t="s">
        <v>374</v>
      </c>
    </row>
    <row r="9" spans="1:6" x14ac:dyDescent="0.25">
      <c r="A9" s="1" t="s">
        <v>365</v>
      </c>
      <c r="B9" t="s">
        <v>291</v>
      </c>
      <c r="C9" t="s">
        <v>372</v>
      </c>
      <c r="E9" t="s">
        <v>295</v>
      </c>
      <c r="F9" s="1" t="s">
        <v>375</v>
      </c>
    </row>
    <row r="10" spans="1:6" x14ac:dyDescent="0.25">
      <c r="A10" s="1" t="s">
        <v>257</v>
      </c>
      <c r="B10" t="s">
        <v>118</v>
      </c>
      <c r="C10" t="s">
        <v>373</v>
      </c>
      <c r="E10" t="s">
        <v>296</v>
      </c>
      <c r="F10" s="1" t="s">
        <v>376</v>
      </c>
    </row>
    <row r="11" spans="1:6" x14ac:dyDescent="0.25">
      <c r="A11" s="1" t="s">
        <v>258</v>
      </c>
      <c r="B11" t="s">
        <v>45</v>
      </c>
      <c r="C11" t="s">
        <v>374</v>
      </c>
      <c r="E11" t="s">
        <v>304</v>
      </c>
      <c r="F11" s="1" t="s">
        <v>377</v>
      </c>
    </row>
    <row r="12" spans="1:6" x14ac:dyDescent="0.25">
      <c r="A12" s="1" t="s">
        <v>259</v>
      </c>
      <c r="B12" t="s">
        <v>42</v>
      </c>
      <c r="C12" t="s">
        <v>370</v>
      </c>
      <c r="E12" t="s">
        <v>305</v>
      </c>
      <c r="F12" s="1" t="s">
        <v>378</v>
      </c>
    </row>
    <row r="13" spans="1:6" x14ac:dyDescent="0.25">
      <c r="A13" s="1" t="s">
        <v>260</v>
      </c>
      <c r="B13" t="s">
        <v>14</v>
      </c>
      <c r="C13" t="s">
        <v>368</v>
      </c>
    </row>
    <row r="14" spans="1:6" x14ac:dyDescent="0.25">
      <c r="A14" s="1" t="s">
        <v>261</v>
      </c>
      <c r="B14" t="s">
        <v>61</v>
      </c>
      <c r="C14" t="s">
        <v>375</v>
      </c>
    </row>
    <row r="15" spans="1:6" x14ac:dyDescent="0.25">
      <c r="A15" s="1" t="s">
        <v>247</v>
      </c>
      <c r="B15" t="s">
        <v>155</v>
      </c>
      <c r="C15" t="s">
        <v>376</v>
      </c>
    </row>
    <row r="16" spans="1:6" x14ac:dyDescent="0.25">
      <c r="A16" s="1" t="s">
        <v>263</v>
      </c>
      <c r="B16" t="s">
        <v>100</v>
      </c>
      <c r="C16" t="s">
        <v>369</v>
      </c>
    </row>
    <row r="17" spans="1:3" x14ac:dyDescent="0.25">
      <c r="A17" s="1" t="s">
        <v>264</v>
      </c>
      <c r="B17" t="s">
        <v>96</v>
      </c>
      <c r="C17" t="s">
        <v>370</v>
      </c>
    </row>
    <row r="18" spans="1:3" x14ac:dyDescent="0.25">
      <c r="A18" s="1" t="s">
        <v>265</v>
      </c>
      <c r="B18" t="s">
        <v>93</v>
      </c>
      <c r="C18" t="s">
        <v>371</v>
      </c>
    </row>
    <row r="19" spans="1:3" x14ac:dyDescent="0.25">
      <c r="A19" s="1" t="s">
        <v>266</v>
      </c>
      <c r="B19" t="s">
        <v>91</v>
      </c>
      <c r="C19" t="s">
        <v>375</v>
      </c>
    </row>
    <row r="20" spans="1:3" x14ac:dyDescent="0.25">
      <c r="A20" s="1" t="s">
        <v>267</v>
      </c>
      <c r="B20" t="s">
        <v>84</v>
      </c>
      <c r="C20" t="s">
        <v>368</v>
      </c>
    </row>
    <row r="21" spans="1:3" x14ac:dyDescent="0.25">
      <c r="A21" s="1" t="s">
        <v>268</v>
      </c>
      <c r="B21" t="s">
        <v>76</v>
      </c>
      <c r="C21" t="s">
        <v>374</v>
      </c>
    </row>
    <row r="22" spans="1:3" x14ac:dyDescent="0.25">
      <c r="A22" s="1" t="s">
        <v>249</v>
      </c>
      <c r="B22" t="s">
        <v>73</v>
      </c>
      <c r="C22" t="s">
        <v>368</v>
      </c>
    </row>
    <row r="23" spans="1:3" x14ac:dyDescent="0.25">
      <c r="A23" s="1" t="s">
        <v>269</v>
      </c>
      <c r="B23" t="s">
        <v>69</v>
      </c>
      <c r="C23" t="s">
        <v>374</v>
      </c>
    </row>
    <row r="24" spans="1:3" x14ac:dyDescent="0.25">
      <c r="A24" s="1" t="s">
        <v>270</v>
      </c>
      <c r="B24" t="s">
        <v>64</v>
      </c>
      <c r="C24" t="s">
        <v>369</v>
      </c>
    </row>
    <row r="25" spans="1:3" x14ac:dyDescent="0.25">
      <c r="A25" s="1" t="s">
        <v>271</v>
      </c>
      <c r="B25" t="s">
        <v>56</v>
      </c>
      <c r="C25" t="s">
        <v>374</v>
      </c>
    </row>
    <row r="26" spans="1:3" x14ac:dyDescent="0.25">
      <c r="A26" s="1" t="s">
        <v>272</v>
      </c>
      <c r="B26" t="s">
        <v>53</v>
      </c>
      <c r="C26" t="s">
        <v>374</v>
      </c>
    </row>
    <row r="27" spans="1:3" x14ac:dyDescent="0.25">
      <c r="A27" s="1" t="s">
        <v>248</v>
      </c>
      <c r="B27" t="s">
        <v>50</v>
      </c>
      <c r="C27" t="s">
        <v>374</v>
      </c>
    </row>
    <row r="28" spans="1:3" x14ac:dyDescent="0.25">
      <c r="A28" s="1" t="s">
        <v>366</v>
      </c>
      <c r="B28" t="s">
        <v>303</v>
      </c>
      <c r="C28" t="s">
        <v>376</v>
      </c>
    </row>
    <row r="29" spans="1:3" x14ac:dyDescent="0.25">
      <c r="A29" s="1" t="s">
        <v>273</v>
      </c>
      <c r="B29" t="s">
        <v>22</v>
      </c>
      <c r="C29" t="s">
        <v>377</v>
      </c>
    </row>
    <row r="30" spans="1:3" x14ac:dyDescent="0.25">
      <c r="A30" s="1" t="s">
        <v>250</v>
      </c>
      <c r="B30" t="s">
        <v>146</v>
      </c>
      <c r="C30" t="s">
        <v>378</v>
      </c>
    </row>
    <row r="31" spans="1:3" x14ac:dyDescent="0.25">
      <c r="A31" s="1" t="s">
        <v>253</v>
      </c>
      <c r="B31" t="s">
        <v>132</v>
      </c>
      <c r="C31" t="s">
        <v>371</v>
      </c>
    </row>
    <row r="32" spans="1:3" x14ac:dyDescent="0.25">
      <c r="A32" s="1" t="s">
        <v>274</v>
      </c>
      <c r="B32" t="s">
        <v>18</v>
      </c>
      <c r="C32" t="s">
        <v>370</v>
      </c>
    </row>
    <row r="33" spans="1:3" x14ac:dyDescent="0.25">
      <c r="A33" t="s">
        <v>393</v>
      </c>
      <c r="B33" s="13" t="s">
        <v>162</v>
      </c>
      <c r="C33" s="14"/>
    </row>
    <row r="34" spans="1:3" x14ac:dyDescent="0.25">
      <c r="A34" s="1" t="s">
        <v>394</v>
      </c>
      <c r="B34" s="13" t="s">
        <v>151</v>
      </c>
      <c r="C34" s="14"/>
    </row>
    <row r="35" spans="1:3" x14ac:dyDescent="0.25">
      <c r="A35" s="1" t="s">
        <v>395</v>
      </c>
      <c r="B35" s="13" t="s">
        <v>129</v>
      </c>
      <c r="C35" s="14"/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F5022-8E4C-4055-906B-0531BCEE2A4A}">
  <sheetPr codeName="Hoja5"/>
  <dimension ref="A1:E26"/>
  <sheetViews>
    <sheetView workbookViewId="0">
      <selection activeCell="C15" sqref="C15"/>
    </sheetView>
  </sheetViews>
  <sheetFormatPr baseColWidth="10" defaultColWidth="0" defaultRowHeight="15" zeroHeight="1" x14ac:dyDescent="0.25"/>
  <cols>
    <col min="1" max="1" width="15.28515625" bestFit="1" customWidth="1"/>
    <col min="2" max="2" width="34.7109375" bestFit="1" customWidth="1"/>
    <col min="3" max="5" width="11.42578125" customWidth="1"/>
    <col min="6" max="16384" width="11.42578125" hidden="1"/>
  </cols>
  <sheetData>
    <row r="1" spans="1:2" x14ac:dyDescent="0.25">
      <c r="A1" t="s">
        <v>196</v>
      </c>
      <c r="B1" t="s">
        <v>379</v>
      </c>
    </row>
    <row r="2" spans="1:2" x14ac:dyDescent="0.25">
      <c r="A2" t="s">
        <v>13</v>
      </c>
      <c r="B2" t="s">
        <v>380</v>
      </c>
    </row>
    <row r="3" spans="1:2" x14ac:dyDescent="0.25">
      <c r="A3" t="s">
        <v>25</v>
      </c>
      <c r="B3" s="1" t="s">
        <v>381</v>
      </c>
    </row>
    <row r="4" spans="1:2" x14ac:dyDescent="0.25">
      <c r="A4" t="s">
        <v>10</v>
      </c>
      <c r="B4" s="1" t="s">
        <v>382</v>
      </c>
    </row>
    <row r="5" spans="1:2" x14ac:dyDescent="0.25">
      <c r="A5" t="s">
        <v>30</v>
      </c>
      <c r="B5" s="1" t="s">
        <v>383</v>
      </c>
    </row>
    <row r="6" spans="1:2" x14ac:dyDescent="0.25">
      <c r="A6" t="s">
        <v>9</v>
      </c>
      <c r="B6" s="1" t="s">
        <v>384</v>
      </c>
    </row>
    <row r="7" spans="1:2" x14ac:dyDescent="0.25">
      <c r="A7" t="s">
        <v>35</v>
      </c>
      <c r="B7" s="1" t="s">
        <v>385</v>
      </c>
    </row>
    <row r="8" spans="1:2" x14ac:dyDescent="0.25">
      <c r="A8" t="s">
        <v>49</v>
      </c>
      <c r="B8" s="1" t="s">
        <v>386</v>
      </c>
    </row>
    <row r="9" spans="1:2" x14ac:dyDescent="0.25">
      <c r="A9" t="s">
        <v>8</v>
      </c>
      <c r="B9" s="1" t="s">
        <v>387</v>
      </c>
    </row>
    <row r="10" spans="1:2" x14ac:dyDescent="0.25">
      <c r="A10" t="s">
        <v>83</v>
      </c>
      <c r="B10" s="1" t="s">
        <v>388</v>
      </c>
    </row>
    <row r="11" spans="1:2" x14ac:dyDescent="0.25">
      <c r="A11" t="s">
        <v>7</v>
      </c>
      <c r="B11" s="1" t="s">
        <v>389</v>
      </c>
    </row>
    <row r="12" spans="1:2" x14ac:dyDescent="0.25">
      <c r="A12" t="s">
        <v>302</v>
      </c>
      <c r="B12" s="1" t="s">
        <v>390</v>
      </c>
    </row>
    <row r="13" spans="1:2" x14ac:dyDescent="0.25">
      <c r="A13" t="s">
        <v>135</v>
      </c>
      <c r="B13" s="1" t="s">
        <v>391</v>
      </c>
    </row>
    <row r="14" spans="1:2" x14ac:dyDescent="0.25">
      <c r="A14" t="s">
        <v>145</v>
      </c>
      <c r="B14" s="1" t="s">
        <v>392</v>
      </c>
    </row>
    <row r="15" spans="1:2" x14ac:dyDescent="0.25"/>
    <row r="16" spans="1: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8AE875C075ED74C9E5042DDC256B2FF" ma:contentTypeVersion="2" ma:contentTypeDescription="Crear nuevo documento." ma:contentTypeScope="" ma:versionID="a1ccc5a5b41c6d97418daa79b07c26ec">
  <xsd:schema xmlns:xsd="http://www.w3.org/2001/XMLSchema" xmlns:xs="http://www.w3.org/2001/XMLSchema" xmlns:p="http://schemas.microsoft.com/office/2006/metadata/properties" xmlns:ns2="08e67e87-4671-4660-845a-47f16f11b0c8" targetNamespace="http://schemas.microsoft.com/office/2006/metadata/properties" ma:root="true" ma:fieldsID="3bc524e2883160068e9016342a700934" ns2:_="">
    <xsd:import namespace="08e67e87-4671-4660-845a-47f16f11b0c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e67e87-4671-4660-845a-47f16f11b0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520983-776F-4D0C-909F-8E9C40AEC91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D71019C-9D01-40D5-804E-B58EAEEBC7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E57900-9FAA-44FD-9D2B-CDE2C081AE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e67e87-4671-4660-845a-47f16f11b0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36A2C2D-5F99-4301-805D-EC19F94BE00E}">
  <ds:schemaRefs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08e67e87-4671-4660-845a-47f16f11b0c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Compare_Cols</vt:lpstr>
      <vt:lpstr>Cols</vt:lpstr>
      <vt:lpstr>FundamentalAnalysis</vt:lpstr>
      <vt:lpstr>Companies</vt:lpstr>
      <vt:lpstr>Sectors &amp; Industries</vt:lpstr>
      <vt:lpstr>Countries</vt:lpstr>
    </vt:vector>
  </TitlesOfParts>
  <Manager/>
  <Company>Red Electrica Corporacion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Ramiro Fernandez, Andres</dc:creator>
  <cp:keywords/>
  <dc:description/>
  <cp:lastModifiedBy>Sánchez Rodríguez, Adrián (Nortempo)</cp:lastModifiedBy>
  <cp:revision/>
  <dcterms:created xsi:type="dcterms:W3CDTF">2021-01-26T15:02:26Z</dcterms:created>
  <dcterms:modified xsi:type="dcterms:W3CDTF">2022-04-04T16:09:48Z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0x010100E8AE875C075ED74C9E5042DDC256B2FF</vt:lpwstr>
  </property>
  <property fmtid="{D5CDD505-2E9C-101B-9397-08002B2CF9AE}" pid="3" name="WorkbookGuid">
    <vt:lpwstr>e3542b73-8fdc-45bc-b5fa-588c5baeb698</vt:lpwstr>
  </property>
</Properties>
</file>